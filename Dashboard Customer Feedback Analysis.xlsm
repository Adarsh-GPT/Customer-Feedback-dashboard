
<file path=[Content_Types].xml><?xml version="1.0" encoding="utf-8"?>
<Types xmlns="http://schemas.openxmlformats.org/package/2006/content-type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workbookPr hidePivotFieldList="1" defaultThemeVersion="166925"/>
  <mc:AlternateContent xmlns:mc="http://schemas.openxmlformats.org/markup-compatibility/2006">
    <mc:Choice Requires="x15">
      <x15ac:absPath xmlns:x15ac="http://schemas.microsoft.com/office/spreadsheetml/2010/11/ac" url="C:\Users\Adarsh Kore\OneDrive\Documents\Projects\Excel\Project 2\"/>
    </mc:Choice>
  </mc:AlternateContent>
  <xr:revisionPtr revIDLastSave="0" documentId="8_{4A2555D4-2130-4D65-8F61-FA96CF587D8E}" xr6:coauthVersionLast="47" xr6:coauthVersionMax="47" xr10:uidLastSave="{00000000-0000-0000-0000-000000000000}"/>
  <bookViews>
    <workbookView xWindow="-108" yWindow="-108" windowWidth="23256" windowHeight="12456" activeTab="2" xr2:uid="{9E6DCA3A-14A5-41A6-A941-EE8D59C05E1B}"/>
  </bookViews>
  <sheets>
    <sheet name="Pivot Tables" sheetId="3" r:id="rId1"/>
    <sheet name="Sheet1" sheetId="1" r:id="rId2"/>
    <sheet name="Dashboard" sheetId="2" r:id="rId3"/>
    <sheet name="Advance Excel Formulas" sheetId="4" r:id="rId4"/>
  </sheets>
  <definedNames>
    <definedName name="Slicer_Country">#N/A</definedName>
    <definedName name="Slicer_Gender">#N/A</definedName>
    <definedName name="Slicer_Sentiment">#N/A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4" i="4" l="1"/>
  <c r="B10" i="4"/>
  <c r="B7" i="4"/>
  <c r="B4" i="4"/>
  <c r="X13" i="3"/>
  <c r="X9" i="3"/>
  <c r="X5" i="3"/>
  <c r="J2" i="1"/>
  <c r="J3" i="1"/>
  <c r="J4" i="1"/>
  <c r="J5" i="1"/>
  <c r="J6" i="1"/>
  <c r="J7" i="1"/>
  <c r="J8" i="1"/>
  <c r="J9" i="1"/>
  <c r="J10" i="1"/>
  <c r="J11" i="1"/>
  <c r="J12" i="1"/>
  <c r="J13" i="1"/>
  <c r="J14" i="1"/>
  <c r="J15" i="1"/>
  <c r="J16" i="1"/>
  <c r="J17" i="1"/>
  <c r="J18" i="1"/>
  <c r="J19" i="1"/>
  <c r="J20" i="1"/>
  <c r="J21" i="1"/>
  <c r="J22" i="1"/>
  <c r="J23" i="1"/>
  <c r="J24" i="1"/>
  <c r="J25" i="1"/>
  <c r="I2" i="1"/>
  <c r="I3" i="1"/>
  <c r="I4" i="1"/>
  <c r="I5" i="1"/>
  <c r="I6" i="1"/>
  <c r="I7" i="1"/>
  <c r="I8" i="1"/>
  <c r="I9" i="1"/>
  <c r="I10" i="1"/>
  <c r="I11" i="1"/>
  <c r="I12" i="1"/>
  <c r="I13" i="1"/>
  <c r="I14" i="1"/>
  <c r="I15" i="1"/>
  <c r="I16" i="1"/>
  <c r="I17" i="1"/>
  <c r="I18" i="1"/>
  <c r="I19" i="1"/>
  <c r="I20" i="1"/>
  <c r="I21" i="1"/>
  <c r="I22" i="1"/>
  <c r="I23" i="1"/>
  <c r="I24" i="1"/>
  <c r="I25" i="1"/>
  <c r="L5" i="1"/>
  <c r="L4" i="1"/>
  <c r="L3" i="1"/>
</calcChain>
</file>

<file path=xl/sharedStrings.xml><?xml version="1.0" encoding="utf-8"?>
<sst xmlns="http://schemas.openxmlformats.org/spreadsheetml/2006/main" count="113" uniqueCount="58">
  <si>
    <t>Customer ID</t>
  </si>
  <si>
    <t>Satisfaction Score</t>
  </si>
  <si>
    <t>Age</t>
  </si>
  <si>
    <t>Gender</t>
  </si>
  <si>
    <t>Country</t>
  </si>
  <si>
    <t>Purchase Amount (USD)</t>
  </si>
  <si>
    <t>Feedback</t>
  </si>
  <si>
    <t>Date of Purchase</t>
  </si>
  <si>
    <t>Female</t>
  </si>
  <si>
    <t>Japan</t>
  </si>
  <si>
    <t>Great quality, but a bit expensive.</t>
  </si>
  <si>
    <t>Male</t>
  </si>
  <si>
    <t>India</t>
  </si>
  <si>
    <t>Loved the design and fit!</t>
  </si>
  <si>
    <t>China</t>
  </si>
  <si>
    <t>South Korea</t>
  </si>
  <si>
    <t>Good material, but delivery was late.</t>
  </si>
  <si>
    <t>Thailand</t>
  </si>
  <si>
    <t>Perfect for the price!</t>
  </si>
  <si>
    <t>Vietnam</t>
  </si>
  <si>
    <t>Not satisfied with the fabric quality.</t>
  </si>
  <si>
    <t>Nice product, will buy again.</t>
  </si>
  <si>
    <t>Amazing collection!</t>
  </si>
  <si>
    <t>Average experience.</t>
  </si>
  <si>
    <t>Very comfortable and stylish.</t>
  </si>
  <si>
    <t>Poor customer service.</t>
  </si>
  <si>
    <t>Good value for money.</t>
  </si>
  <si>
    <t>Excellent product!</t>
  </si>
  <si>
    <t>Could be better.</t>
  </si>
  <si>
    <t>Loved it!</t>
  </si>
  <si>
    <t>Best purchase ever!</t>
  </si>
  <si>
    <t>Disappointed with the sizing.</t>
  </si>
  <si>
    <t>Great experience overall.</t>
  </si>
  <si>
    <t>Highly recommended!</t>
  </si>
  <si>
    <t>Fantastic service and product.</t>
  </si>
  <si>
    <t>Good, but could improve.</t>
  </si>
  <si>
    <t>Absolutely love it!</t>
  </si>
  <si>
    <t>Format Cleaned</t>
  </si>
  <si>
    <t>Row Labels</t>
  </si>
  <si>
    <t>Grand Total</t>
  </si>
  <si>
    <t>Average of Satisfaction Score</t>
  </si>
  <si>
    <t>Customer Satisfaction by Country</t>
  </si>
  <si>
    <t>Sales by Gender</t>
  </si>
  <si>
    <t>Sum of Purchase Amount (USD)</t>
  </si>
  <si>
    <t>Sentiment</t>
  </si>
  <si>
    <t>Negative</t>
  </si>
  <si>
    <t>Neutral</t>
  </si>
  <si>
    <t>Positive</t>
  </si>
  <si>
    <t>Count of Sentiment</t>
  </si>
  <si>
    <t>Feedback Sentiment Analysis</t>
  </si>
  <si>
    <t>Customer Feedback Analysis</t>
  </si>
  <si>
    <t>Total Sales</t>
  </si>
  <si>
    <t>Average Satisfaction Score</t>
  </si>
  <si>
    <t>Number of Customers</t>
  </si>
  <si>
    <t>IFERROR</t>
  </si>
  <si>
    <t>INDEX-MATCH</t>
  </si>
  <si>
    <t>SUMIFS</t>
  </si>
  <si>
    <t>TODAY()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</si>
</sst>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
  </numFmts>
  <fonts count="8" x14ac:knownFonts="1">
    <font>
      <sz val="11"/>
      <color theme="1"/>
      <name val="Calibri"/>
      <family val="2"/>
      <scheme val="minor"/>
    </font>
    <font>
      <b/>
      <sz val="11"/>
      <color theme="1"/>
      <name val="Calibri"/>
      <family val="2"/>
      <scheme val="minor"/>
    </font>
    <font>
      <sz val="24"/>
      <color theme="1"/>
      <name val="Calibri"/>
      <family val="2"/>
      <scheme val="minor"/>
    </font>
    <font>
      <sz val="28"/>
      <color theme="1"/>
      <name val="Calibri"/>
      <family val="2"/>
      <scheme val="minor"/>
    </font>
    <font>
      <b/>
      <sz val="14"/>
      <color theme="1"/>
      <name val="Calibri"/>
      <family val="2"/>
      <scheme val="minor"/>
    </font>
    <font>
      <b/>
      <sz val="20"/>
      <color theme="1"/>
      <name val="Calibri"/>
      <family val="2"/>
      <scheme val="minor"/>
    </font>
    <font>
      <b/>
      <sz val="16"/>
      <color theme="1"/>
      <name val="Calibri"/>
      <family val="2"/>
      <scheme val="minor"/>
    </font>
    <font>
      <sz val="22"/>
      <color theme="1"/>
      <name val="Calibri"/>
      <family val="2"/>
      <scheme val="minor"/>
    </font>
  </fonts>
  <fills count="6">
    <fill>
      <patternFill patternType="none"/>
    </fill>
    <fill>
      <patternFill patternType="gray125"/>
    </fill>
    <fill>
      <patternFill patternType="solid">
        <fgColor theme="6" tint="0.39997558519241921"/>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29">
    <xf numFmtId="0" fontId="0" fillId="0" borderId="0" xfId="0"/>
    <xf numFmtId="0" fontId="0" fillId="0" borderId="0" xfId="0" pivotButton="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center"/>
    </xf>
    <xf numFmtId="14" fontId="0" fillId="0" borderId="0" xfId="0" applyNumberFormat="1" applyAlignment="1">
      <alignment horizontal="left"/>
    </xf>
    <xf numFmtId="0" fontId="1" fillId="0" borderId="0" xfId="0" applyFont="1"/>
    <xf numFmtId="0" fontId="0" fillId="4" borderId="0" xfId="0" applyFill="1"/>
    <xf numFmtId="164" fontId="0" fillId="0" borderId="0" xfId="0" applyNumberFormat="1"/>
    <xf numFmtId="0" fontId="2" fillId="0" borderId="0" xfId="0" applyFont="1"/>
    <xf numFmtId="0" fontId="7" fillId="0" borderId="0" xfId="0" applyFont="1"/>
    <xf numFmtId="0" fontId="4" fillId="3" borderId="1" xfId="0" applyFont="1" applyFill="1" applyBorder="1" applyAlignment="1">
      <alignment horizontal="center" vertical="center"/>
    </xf>
    <xf numFmtId="2" fontId="0" fillId="2" borderId="1" xfId="0" applyNumberFormat="1" applyFill="1" applyBorder="1" applyAlignment="1">
      <alignment horizontal="center"/>
    </xf>
    <xf numFmtId="0" fontId="6" fillId="3" borderId="1" xfId="0" applyFont="1" applyFill="1" applyBorder="1" applyAlignment="1">
      <alignment horizontal="center" vertical="center"/>
    </xf>
    <xf numFmtId="0" fontId="0" fillId="2" borderId="1" xfId="0" applyFill="1" applyBorder="1" applyAlignment="1">
      <alignment horizontal="center"/>
    </xf>
    <xf numFmtId="0" fontId="7" fillId="0" borderId="0" xfId="0" applyFont="1" applyAlignment="1">
      <alignment horizontal="center"/>
    </xf>
    <xf numFmtId="0" fontId="1" fillId="0" borderId="0" xfId="0" applyFont="1" applyAlignment="1">
      <alignment horizontal="center"/>
    </xf>
    <xf numFmtId="0" fontId="5" fillId="3" borderId="1" xfId="0" applyFont="1" applyFill="1" applyBorder="1" applyAlignment="1">
      <alignment horizontal="center" vertical="center"/>
    </xf>
    <xf numFmtId="0" fontId="3" fillId="5" borderId="2" xfId="0" applyFont="1" applyFill="1" applyBorder="1" applyAlignment="1">
      <alignment horizontal="center" vertical="center"/>
    </xf>
    <xf numFmtId="0" fontId="0" fillId="5" borderId="3" xfId="0" applyFill="1" applyBorder="1" applyAlignment="1">
      <alignment horizontal="center" vertical="center"/>
    </xf>
    <xf numFmtId="0" fontId="0" fillId="5" borderId="4" xfId="0" applyFill="1" applyBorder="1" applyAlignment="1">
      <alignment horizontal="center" vertical="center"/>
    </xf>
    <xf numFmtId="0" fontId="0" fillId="5" borderId="5" xfId="0" applyFill="1" applyBorder="1" applyAlignment="1">
      <alignment horizontal="center" vertical="center"/>
    </xf>
    <xf numFmtId="0" fontId="0" fillId="5" borderId="0" xfId="0" applyFill="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0" fontId="0" fillId="5" borderId="8" xfId="0" applyFill="1" applyBorder="1" applyAlignment="1">
      <alignment horizontal="center" vertical="center"/>
    </xf>
    <xf numFmtId="0" fontId="0" fillId="5" borderId="9" xfId="0" applyFill="1" applyBorder="1" applyAlignment="1">
      <alignment horizontal="center" vertical="center"/>
    </xf>
    <xf numFmtId="0" fontId="7" fillId="4" borderId="0" xfId="0" applyFont="1" applyFill="1" applyAlignment="1">
      <alignment horizontal="center"/>
    </xf>
    <xf numFmtId="0" fontId="0" fillId="0" borderId="0" xfId="0" applyNumberFormat="1"/>
  </cellXfs>
  <cellStyles count="1">
    <cellStyle name="Normal" xfId="0" builtinId="0"/>
  </cellStyles>
  <dxfs count="13">
    <dxf>
      <fill>
        <patternFill>
          <bgColor rgb="FFFF0000"/>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[Dashboard Customer Feedback Analysis.xlsm]Pivot Tables!PivotTable1</c:name>
    <c:fmtId val="0"/>
  </c:pivotSource>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Total</a:t>
            </a:r>
            <a:r>
              <a:rPr lang="en-US" sz="1600" baseline="0">
                <a:solidFill>
                  <a:schemeClr val="tx1"/>
                </a:solidFill>
              </a:rPr>
              <a:t> Sales by Country</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Tables'!$B$3</c:f>
              <c:strCache>
                <c:ptCount val="1"/>
                <c:pt idx="0">
                  <c:v>Total</c:v>
                </c:pt>
              </c:strCache>
            </c:strRef>
          </c:tx>
          <c:spPr>
            <a:solidFill>
              <a:schemeClr val="accent2"/>
            </a:solidFill>
            <a:ln>
              <a:noFill/>
            </a:ln>
            <a:effectLst/>
          </c:spPr>
          <c:invertIfNegative val="0"/>
          <c:cat>
            <c:strRef>
              <c:f>'Pivot Tables'!$A$4:$A$10</c:f>
              <c:strCache>
                <c:ptCount val="6"/>
                <c:pt idx="0">
                  <c:v>China</c:v>
                </c:pt>
                <c:pt idx="1">
                  <c:v>India</c:v>
                </c:pt>
                <c:pt idx="2">
                  <c:v>Japan</c:v>
                </c:pt>
                <c:pt idx="3">
                  <c:v>South Korea</c:v>
                </c:pt>
                <c:pt idx="4">
                  <c:v>Thailand</c:v>
                </c:pt>
                <c:pt idx="5">
                  <c:v>Vietnam</c:v>
                </c:pt>
              </c:strCache>
            </c:strRef>
          </c:cat>
          <c:val>
            <c:numRef>
              <c:f>'Pivot Tables'!$B$4:$B$10</c:f>
              <c:numCache>
                <c:formatCode>General</c:formatCode>
                <c:ptCount val="6"/>
                <c:pt idx="0">
                  <c:v>3</c:v>
                </c:pt>
                <c:pt idx="1">
                  <c:v>5</c:v>
                </c:pt>
                <c:pt idx="2">
                  <c:v>4.2</c:v>
                </c:pt>
                <c:pt idx="3">
                  <c:v>4.25</c:v>
                </c:pt>
                <c:pt idx="4">
                  <c:v>4.5</c:v>
                </c:pt>
                <c:pt idx="5">
                  <c:v>2.25</c:v>
                </c:pt>
              </c:numCache>
            </c:numRef>
          </c:val>
          <c:extLst>
            <c:ext xmlns:c16="http://schemas.microsoft.com/office/drawing/2014/chart" uri="{C3380CC4-5D6E-409C-BE32-E72D297353CC}">
              <c16:uniqueId val="{00000000-C325-4D86-8533-EC0EC7882ABB}"/>
            </c:ext>
          </c:extLst>
        </c:ser>
        <c:dLbls>
          <c:showLegendKey val="0"/>
          <c:showVal val="0"/>
          <c:showCatName val="0"/>
          <c:showSerName val="0"/>
          <c:showPercent val="0"/>
          <c:showBubbleSize val="0"/>
        </c:dLbls>
        <c:gapWidth val="150"/>
        <c:overlap val="100"/>
        <c:axId val="1886100127"/>
        <c:axId val="1886102047"/>
      </c:barChart>
      <c:catAx>
        <c:axId val="1886100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86102047"/>
        <c:crosses val="autoZero"/>
        <c:auto val="1"/>
        <c:lblAlgn val="ctr"/>
        <c:lblOffset val="100"/>
        <c:noMultiLvlLbl val="0"/>
      </c:catAx>
      <c:valAx>
        <c:axId val="188610204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18861001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Customer Feedback Analysis.xlsm]Pivot Tables!PivotTable2</c:name>
    <c:fmtId val="0"/>
  </c:pivotSource>
  <c:chart>
    <c:title>
      <c:tx>
        <c:rich>
          <a:bodyPr rot="0" spcFirstLastPara="1" vertOverflow="ellipsis" vert="horz" wrap="square" anchor="ctr" anchorCtr="1"/>
          <a:lstStyle/>
          <a:p>
            <a:pPr algn="ctr" rtl="0">
              <a:defRPr lang="en-US" sz="1600" b="0" i="0" u="none" strike="noStrike" kern="1200" spc="0" baseline="0">
                <a:solidFill>
                  <a:schemeClr val="tx1"/>
                </a:solidFill>
                <a:latin typeface="+mn-lt"/>
                <a:ea typeface="+mn-ea"/>
                <a:cs typeface="+mn-cs"/>
              </a:defRPr>
            </a:pPr>
            <a:r>
              <a:rPr lang="en-US" sz="1600" b="0" i="0" u="none" strike="noStrike" kern="1200" spc="0" baseline="0">
                <a:solidFill>
                  <a:schemeClr val="tx1"/>
                </a:solidFill>
                <a:latin typeface="+mn-lt"/>
                <a:ea typeface="+mn-ea"/>
                <a:cs typeface="+mn-cs"/>
              </a:rPr>
              <a:t>Total Sales by Gender</a:t>
            </a:r>
          </a:p>
        </c:rich>
      </c:tx>
      <c:overlay val="0"/>
      <c:spPr>
        <a:noFill/>
        <a:ln>
          <a:noFill/>
        </a:ln>
        <a:effectLst/>
      </c:spPr>
      <c:txPr>
        <a:bodyPr rot="0" spcFirstLastPara="1" vertOverflow="ellipsis" vert="horz" wrap="square" anchor="ctr" anchorCtr="1"/>
        <a:lstStyle/>
        <a:p>
          <a:pPr algn="ctr" rtl="0">
            <a:defRPr lang="en-US" sz="16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Tables'!$E$3</c:f>
              <c:strCache>
                <c:ptCount val="1"/>
                <c:pt idx="0">
                  <c:v>Total</c:v>
                </c:pt>
              </c:strCache>
            </c:strRef>
          </c:tx>
          <c:spPr>
            <a:solidFill>
              <a:schemeClr val="accent6"/>
            </a:solidFill>
            <a:ln>
              <a:noFill/>
            </a:ln>
            <a:effectLst/>
          </c:spPr>
          <c:invertIfNegative val="0"/>
          <c:cat>
            <c:strRef>
              <c:f>'Pivot Tables'!$D$4:$D$6</c:f>
              <c:strCache>
                <c:ptCount val="2"/>
                <c:pt idx="0">
                  <c:v>Female</c:v>
                </c:pt>
                <c:pt idx="1">
                  <c:v>Male</c:v>
                </c:pt>
              </c:strCache>
            </c:strRef>
          </c:cat>
          <c:val>
            <c:numRef>
              <c:f>'Pivot Tables'!$E$4:$E$6</c:f>
              <c:numCache>
                <c:formatCode>General</c:formatCode>
                <c:ptCount val="2"/>
                <c:pt idx="0">
                  <c:v>1305</c:v>
                </c:pt>
                <c:pt idx="1">
                  <c:v>1125</c:v>
                </c:pt>
              </c:numCache>
            </c:numRef>
          </c:val>
          <c:extLst>
            <c:ext xmlns:c16="http://schemas.microsoft.com/office/drawing/2014/chart" uri="{C3380CC4-5D6E-409C-BE32-E72D297353CC}">
              <c16:uniqueId val="{00000000-8E57-4B43-BAC9-26CAB695729F}"/>
            </c:ext>
          </c:extLst>
        </c:ser>
        <c:dLbls>
          <c:showLegendKey val="0"/>
          <c:showVal val="0"/>
          <c:showCatName val="0"/>
          <c:showSerName val="0"/>
          <c:showPercent val="0"/>
          <c:showBubbleSize val="0"/>
        </c:dLbls>
        <c:gapWidth val="150"/>
        <c:axId val="1901147199"/>
        <c:axId val="1901152479"/>
      </c:barChart>
      <c:catAx>
        <c:axId val="190114719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901152479"/>
        <c:crosses val="autoZero"/>
        <c:auto val="1"/>
        <c:lblAlgn val="ctr"/>
        <c:lblOffset val="100"/>
        <c:noMultiLvlLbl val="0"/>
      </c:catAx>
      <c:valAx>
        <c:axId val="190115247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901147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Customer Feedback Analysis.xlsm]Pivot Tables!PivotTable3</c:name>
    <c:fmtId val="3"/>
  </c:pivotSource>
  <c:chart>
    <c:title>
      <c:tx>
        <c:rich>
          <a:bodyPr rot="0" spcFirstLastPara="1" vertOverflow="ellipsis" vert="horz" wrap="square" anchor="ctr" anchorCtr="1"/>
          <a:lstStyle/>
          <a:p>
            <a:pPr algn="ctr" rtl="0">
              <a:defRPr lang="en-US" sz="1600" b="0" i="0" u="none" strike="noStrike" kern="1200" spc="0" baseline="0">
                <a:solidFill>
                  <a:schemeClr val="tx1"/>
                </a:solidFill>
                <a:latin typeface="+mn-lt"/>
                <a:ea typeface="+mn-ea"/>
                <a:cs typeface="+mn-cs"/>
              </a:defRPr>
            </a:pPr>
            <a:r>
              <a:rPr lang="en-US" sz="1600" b="0" i="0" u="none" strike="noStrike" kern="1200" spc="0" baseline="0">
                <a:solidFill>
                  <a:schemeClr val="tx1"/>
                </a:solidFill>
                <a:latin typeface="+mn-lt"/>
                <a:ea typeface="+mn-ea"/>
                <a:cs typeface="+mn-cs"/>
              </a:rPr>
              <a:t>Feedback Sentiment Analysis</a:t>
            </a:r>
          </a:p>
        </c:rich>
      </c:tx>
      <c:overlay val="0"/>
      <c:spPr>
        <a:noFill/>
        <a:ln>
          <a:noFill/>
        </a:ln>
        <a:effectLst/>
      </c:spPr>
      <c:txPr>
        <a:bodyPr rot="0" spcFirstLastPara="1" vertOverflow="ellipsis" vert="horz" wrap="square" anchor="ctr" anchorCtr="1"/>
        <a:lstStyle/>
        <a:p>
          <a:pPr algn="ctr" rtl="0">
            <a:defRPr lang="en-US" sz="16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'Pivot Tables'!$H$3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718-4DC5-B8C0-411888B1F23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718-4DC5-B8C0-411888B1F23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718-4DC5-B8C0-411888B1F23D}"/>
              </c:ext>
            </c:extLst>
          </c:dPt>
          <c:cat>
            <c:strRef>
              <c:f>'Pivot Tables'!$G$4:$G$7</c:f>
              <c:strCache>
                <c:ptCount val="3"/>
                <c:pt idx="0">
                  <c:v>Negative</c:v>
                </c:pt>
                <c:pt idx="1">
                  <c:v>Neutral</c:v>
                </c:pt>
                <c:pt idx="2">
                  <c:v>Positive</c:v>
                </c:pt>
              </c:strCache>
            </c:strRef>
          </c:cat>
          <c:val>
            <c:numRef>
              <c:f>'Pivot Tables'!$H$4:$H$7</c:f>
              <c:numCache>
                <c:formatCode>General</c:formatCode>
                <c:ptCount val="3"/>
                <c:pt idx="0">
                  <c:v>1</c:v>
                </c:pt>
                <c:pt idx="1">
                  <c:v>21</c:v>
                </c:pt>
                <c:pt idx="2">
                  <c:v>2</c:v>
                </c:pt>
              </c:numCache>
            </c:numRef>
          </c:val>
          <c:extLst>
            <c:ext xmlns:c16="http://schemas.microsoft.com/office/drawing/2014/chart" uri="{C3380CC4-5D6E-409C-BE32-E72D297353CC}">
              <c16:uniqueId val="{00000000-8446-48E3-ABCB-43FDD8715AE3}"/>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egendEntry>
        <c:idx val="0"/>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legendEntry>
      <c:legendEntry>
        <c:idx val="1"/>
        <c:txPr>
          <a:bodyPr rot="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en-US"/>
          </a:p>
        </c:txPr>
      </c:legendEntry>
      <c:legendEntry>
        <c:idx val="2"/>
        <c:txPr>
          <a:bodyPr rot="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en-US"/>
          </a:p>
        </c:txPr>
      </c:legendEntry>
      <c:layout>
        <c:manualLayout>
          <c:xMode val="edge"/>
          <c:yMode val="edge"/>
          <c:x val="0.67222222222222228"/>
          <c:y val="0.38128390201224849"/>
          <c:w val="0.2388888888888889"/>
          <c:h val="0.4497911198600175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 Customer Feedback Analysis.xlsm]Pivot Tables!PivotTable7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a:solidFill>
                  <a:schemeClr val="tx1"/>
                </a:solidFill>
              </a:rPr>
              <a:t>Sales</a:t>
            </a:r>
            <a:r>
              <a:rPr lang="en-US" sz="1600" baseline="0">
                <a:solidFill>
                  <a:schemeClr val="tx1"/>
                </a:solidFill>
              </a:rPr>
              <a:t> by Over Time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3728409494664696E-2"/>
          <c:y val="0.18282674772036475"/>
          <c:w val="0.92807653955919267"/>
          <c:h val="0.55531675561831362"/>
        </c:manualLayout>
      </c:layout>
      <c:lineChart>
        <c:grouping val="standard"/>
        <c:varyColors val="0"/>
        <c:ser>
          <c:idx val="0"/>
          <c:order val="0"/>
          <c:tx>
            <c:strRef>
              <c:f>'Pivot Tables'!$U$2</c:f>
              <c:strCache>
                <c:ptCount val="1"/>
                <c:pt idx="0">
                  <c:v>Total</c:v>
                </c:pt>
              </c:strCache>
            </c:strRef>
          </c:tx>
          <c:spPr>
            <a:ln w="28575" cap="rnd">
              <a:solidFill>
                <a:schemeClr val="accent4"/>
              </a:solidFill>
              <a:round/>
            </a:ln>
            <a:effectLst/>
          </c:spPr>
          <c:marker>
            <c:symbol val="none"/>
          </c:marker>
          <c:cat>
            <c:strRef>
              <c:f>'Pivot Tables'!$T$3:$T$27</c:f>
              <c:strCache>
                <c:ptCount val="24"/>
                <c:pt idx="0">
                  <c:v>10/1/2023</c:v>
                </c:pt>
                <c:pt idx="1">
                  <c:v>10/2/2023</c:v>
                </c:pt>
                <c:pt idx="2">
                  <c:v>10/3/2023</c:v>
                </c:pt>
                <c:pt idx="3">
                  <c:v>10/4/2023</c:v>
                </c:pt>
                <c:pt idx="4">
                  <c:v>10/5/2023</c:v>
                </c:pt>
                <c:pt idx="5">
                  <c:v>10/6/2023</c:v>
                </c:pt>
                <c:pt idx="6">
                  <c:v>10/7/2023</c:v>
                </c:pt>
                <c:pt idx="7">
                  <c:v>10/8/2023</c:v>
                </c:pt>
                <c:pt idx="8">
                  <c:v>10/9/2023</c:v>
                </c:pt>
                <c:pt idx="9">
                  <c:v>10/10/2023</c:v>
                </c:pt>
                <c:pt idx="10">
                  <c:v>10/11/2023</c:v>
                </c:pt>
                <c:pt idx="11">
                  <c:v>10/12/2023</c:v>
                </c:pt>
                <c:pt idx="12">
                  <c:v>10/13/2023</c:v>
                </c:pt>
                <c:pt idx="13">
                  <c:v>10/14/2023</c:v>
                </c:pt>
                <c:pt idx="14">
                  <c:v>10/15/2023</c:v>
                </c:pt>
                <c:pt idx="15">
                  <c:v>10/16/2023</c:v>
                </c:pt>
                <c:pt idx="16">
                  <c:v>10/17/2023</c:v>
                </c:pt>
                <c:pt idx="17">
                  <c:v>10/18/2023</c:v>
                </c:pt>
                <c:pt idx="18">
                  <c:v>10/19/2023</c:v>
                </c:pt>
                <c:pt idx="19">
                  <c:v>10/20/2023</c:v>
                </c:pt>
                <c:pt idx="20">
                  <c:v>10/21/2023</c:v>
                </c:pt>
                <c:pt idx="21">
                  <c:v>10/22/2023</c:v>
                </c:pt>
                <c:pt idx="22">
                  <c:v>10/23/2023</c:v>
                </c:pt>
                <c:pt idx="23">
                  <c:v>10/24/2023</c:v>
                </c:pt>
              </c:strCache>
            </c:strRef>
          </c:cat>
          <c:val>
            <c:numRef>
              <c:f>'Pivot Tables'!$U$3:$U$27</c:f>
              <c:numCache>
                <c:formatCode>General</c:formatCode>
                <c:ptCount val="24"/>
                <c:pt idx="0">
                  <c:v>120</c:v>
                </c:pt>
                <c:pt idx="1">
                  <c:v>80</c:v>
                </c:pt>
                <c:pt idx="2">
                  <c:v>100</c:v>
                </c:pt>
                <c:pt idx="3">
                  <c:v>150</c:v>
                </c:pt>
                <c:pt idx="4">
                  <c:v>60</c:v>
                </c:pt>
                <c:pt idx="5">
                  <c:v>90</c:v>
                </c:pt>
                <c:pt idx="6">
                  <c:v>110</c:v>
                </c:pt>
                <c:pt idx="7">
                  <c:v>70</c:v>
                </c:pt>
                <c:pt idx="8">
                  <c:v>130</c:v>
                </c:pt>
                <c:pt idx="9">
                  <c:v>100</c:v>
                </c:pt>
                <c:pt idx="10">
                  <c:v>50</c:v>
                </c:pt>
                <c:pt idx="11">
                  <c:v>100</c:v>
                </c:pt>
                <c:pt idx="12">
                  <c:v>140</c:v>
                </c:pt>
                <c:pt idx="13">
                  <c:v>85</c:v>
                </c:pt>
                <c:pt idx="14">
                  <c:v>95</c:v>
                </c:pt>
                <c:pt idx="15">
                  <c:v>160</c:v>
                </c:pt>
                <c:pt idx="16">
                  <c:v>55</c:v>
                </c:pt>
                <c:pt idx="17">
                  <c:v>75</c:v>
                </c:pt>
                <c:pt idx="18">
                  <c:v>125</c:v>
                </c:pt>
                <c:pt idx="19">
                  <c:v>65</c:v>
                </c:pt>
                <c:pt idx="20">
                  <c:v>145</c:v>
                </c:pt>
                <c:pt idx="21">
                  <c:v>100</c:v>
                </c:pt>
                <c:pt idx="22">
                  <c:v>95</c:v>
                </c:pt>
                <c:pt idx="23">
                  <c:v>130</c:v>
                </c:pt>
              </c:numCache>
            </c:numRef>
          </c:val>
          <c:smooth val="0"/>
          <c:extLst>
            <c:ext xmlns:c16="http://schemas.microsoft.com/office/drawing/2014/chart" uri="{C3380CC4-5D6E-409C-BE32-E72D297353CC}">
              <c16:uniqueId val="{00000000-D9B1-4D77-B928-22CC81878363}"/>
            </c:ext>
          </c:extLst>
        </c:ser>
        <c:dLbls>
          <c:showLegendKey val="0"/>
          <c:showVal val="0"/>
          <c:showCatName val="0"/>
          <c:showSerName val="0"/>
          <c:showPercent val="0"/>
          <c:showBubbleSize val="0"/>
        </c:dLbls>
        <c:smooth val="0"/>
        <c:axId val="2093508895"/>
        <c:axId val="2093509375"/>
      </c:lineChart>
      <c:catAx>
        <c:axId val="2093508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93509375"/>
        <c:crosses val="autoZero"/>
        <c:auto val="1"/>
        <c:lblAlgn val="ctr"/>
        <c:lblOffset val="100"/>
        <c:noMultiLvlLbl val="0"/>
      </c:catAx>
      <c:valAx>
        <c:axId val="20935093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935088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[Dashboard Customer Feedback Analysis.xlsm]Pivot Tables!PivotTable1</c:name>
    <c:fmtId val="14"/>
  </c:pivotSource>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Total</a:t>
            </a:r>
            <a:r>
              <a:rPr lang="en-US" sz="1600" baseline="0">
                <a:solidFill>
                  <a:schemeClr val="tx1"/>
                </a:solidFill>
              </a:rPr>
              <a:t> Sales by Country</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Tables'!$B$3</c:f>
              <c:strCache>
                <c:ptCount val="1"/>
                <c:pt idx="0">
                  <c:v>Total</c:v>
                </c:pt>
              </c:strCache>
            </c:strRef>
          </c:tx>
          <c:spPr>
            <a:solidFill>
              <a:schemeClr val="accent2"/>
            </a:solidFill>
            <a:ln>
              <a:noFill/>
            </a:ln>
            <a:effectLst/>
          </c:spPr>
          <c:invertIfNegative val="0"/>
          <c:cat>
            <c:strRef>
              <c:f>'Pivot Tables'!$A$4:$A$10</c:f>
              <c:strCache>
                <c:ptCount val="6"/>
                <c:pt idx="0">
                  <c:v>China</c:v>
                </c:pt>
                <c:pt idx="1">
                  <c:v>India</c:v>
                </c:pt>
                <c:pt idx="2">
                  <c:v>Japan</c:v>
                </c:pt>
                <c:pt idx="3">
                  <c:v>South Korea</c:v>
                </c:pt>
                <c:pt idx="4">
                  <c:v>Thailand</c:v>
                </c:pt>
                <c:pt idx="5">
                  <c:v>Vietnam</c:v>
                </c:pt>
              </c:strCache>
            </c:strRef>
          </c:cat>
          <c:val>
            <c:numRef>
              <c:f>'Pivot Tables'!$B$4:$B$10</c:f>
              <c:numCache>
                <c:formatCode>General</c:formatCode>
                <c:ptCount val="6"/>
                <c:pt idx="0">
                  <c:v>3</c:v>
                </c:pt>
                <c:pt idx="1">
                  <c:v>5</c:v>
                </c:pt>
                <c:pt idx="2">
                  <c:v>4.2</c:v>
                </c:pt>
                <c:pt idx="3">
                  <c:v>4.25</c:v>
                </c:pt>
                <c:pt idx="4">
                  <c:v>4.5</c:v>
                </c:pt>
                <c:pt idx="5">
                  <c:v>2.25</c:v>
                </c:pt>
              </c:numCache>
            </c:numRef>
          </c:val>
          <c:extLst>
            <c:ext xmlns:c16="http://schemas.microsoft.com/office/drawing/2014/chart" uri="{C3380CC4-5D6E-409C-BE32-E72D297353CC}">
              <c16:uniqueId val="{00000000-FA96-4103-B3B8-D595DE1B9E84}"/>
            </c:ext>
          </c:extLst>
        </c:ser>
        <c:dLbls>
          <c:showLegendKey val="0"/>
          <c:showVal val="0"/>
          <c:showCatName val="0"/>
          <c:showSerName val="0"/>
          <c:showPercent val="0"/>
          <c:showBubbleSize val="0"/>
        </c:dLbls>
        <c:gapWidth val="150"/>
        <c:overlap val="100"/>
        <c:axId val="1886100127"/>
        <c:axId val="1886102047"/>
      </c:barChart>
      <c:catAx>
        <c:axId val="1886100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86102047"/>
        <c:crosses val="autoZero"/>
        <c:auto val="1"/>
        <c:lblAlgn val="ctr"/>
        <c:lblOffset val="100"/>
        <c:noMultiLvlLbl val="0"/>
      </c:catAx>
      <c:valAx>
        <c:axId val="188610204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18861001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60000"/>
        <a:lumOff val="40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Customer Feedback Analysis.xlsm]Pivot Tables!PivotTable2</c:name>
    <c:fmtId val="14"/>
  </c:pivotSource>
  <c:chart>
    <c:title>
      <c:tx>
        <c:rich>
          <a:bodyPr rot="0" spcFirstLastPara="1" vertOverflow="ellipsis" vert="horz" wrap="square" anchor="ctr" anchorCtr="1"/>
          <a:lstStyle/>
          <a:p>
            <a:pPr algn="ctr" rtl="0">
              <a:defRPr lang="en-US" sz="1600" b="0" i="0" u="none" strike="noStrike" kern="1200" spc="0" baseline="0">
                <a:solidFill>
                  <a:schemeClr val="tx1"/>
                </a:solidFill>
                <a:latin typeface="+mn-lt"/>
                <a:ea typeface="+mn-ea"/>
                <a:cs typeface="+mn-cs"/>
              </a:defRPr>
            </a:pPr>
            <a:r>
              <a:rPr lang="en-US" sz="1600" b="0" i="0" u="none" strike="noStrike" kern="1200" spc="0" baseline="0">
                <a:solidFill>
                  <a:schemeClr val="tx1"/>
                </a:solidFill>
                <a:latin typeface="+mn-lt"/>
                <a:ea typeface="+mn-ea"/>
                <a:cs typeface="+mn-cs"/>
              </a:rPr>
              <a:t>Total Sales by Gender</a:t>
            </a:r>
          </a:p>
        </c:rich>
      </c:tx>
      <c:overlay val="0"/>
      <c:spPr>
        <a:noFill/>
        <a:ln>
          <a:noFill/>
        </a:ln>
        <a:effectLst/>
      </c:spPr>
      <c:txPr>
        <a:bodyPr rot="0" spcFirstLastPara="1" vertOverflow="ellipsis" vert="horz" wrap="square" anchor="ctr" anchorCtr="1"/>
        <a:lstStyle/>
        <a:p>
          <a:pPr algn="ctr" rtl="0">
            <a:defRPr lang="en-US" sz="16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64232325577155"/>
          <c:y val="0.21804979253112033"/>
          <c:w val="0.79433059928976013"/>
          <c:h val="0.56619455244442995"/>
        </c:manualLayout>
      </c:layout>
      <c:barChart>
        <c:barDir val="bar"/>
        <c:grouping val="clustered"/>
        <c:varyColors val="0"/>
        <c:ser>
          <c:idx val="0"/>
          <c:order val="0"/>
          <c:tx>
            <c:strRef>
              <c:f>'Pivot Tables'!$E$3</c:f>
              <c:strCache>
                <c:ptCount val="1"/>
                <c:pt idx="0">
                  <c:v>Total</c:v>
                </c:pt>
              </c:strCache>
            </c:strRef>
          </c:tx>
          <c:spPr>
            <a:solidFill>
              <a:schemeClr val="accent6"/>
            </a:solidFill>
            <a:ln>
              <a:noFill/>
            </a:ln>
            <a:effectLst/>
          </c:spPr>
          <c:invertIfNegative val="0"/>
          <c:cat>
            <c:strRef>
              <c:f>'Pivot Tables'!$D$4:$D$6</c:f>
              <c:strCache>
                <c:ptCount val="2"/>
                <c:pt idx="0">
                  <c:v>Female</c:v>
                </c:pt>
                <c:pt idx="1">
                  <c:v>Male</c:v>
                </c:pt>
              </c:strCache>
            </c:strRef>
          </c:cat>
          <c:val>
            <c:numRef>
              <c:f>'Pivot Tables'!$E$4:$E$6</c:f>
              <c:numCache>
                <c:formatCode>General</c:formatCode>
                <c:ptCount val="2"/>
                <c:pt idx="0">
                  <c:v>1305</c:v>
                </c:pt>
                <c:pt idx="1">
                  <c:v>1125</c:v>
                </c:pt>
              </c:numCache>
            </c:numRef>
          </c:val>
          <c:extLst>
            <c:ext xmlns:c16="http://schemas.microsoft.com/office/drawing/2014/chart" uri="{C3380CC4-5D6E-409C-BE32-E72D297353CC}">
              <c16:uniqueId val="{00000000-0EBD-4D2E-9C1F-FA0FE0E6747D}"/>
            </c:ext>
          </c:extLst>
        </c:ser>
        <c:dLbls>
          <c:showLegendKey val="0"/>
          <c:showVal val="0"/>
          <c:showCatName val="0"/>
          <c:showSerName val="0"/>
          <c:showPercent val="0"/>
          <c:showBubbleSize val="0"/>
        </c:dLbls>
        <c:gapWidth val="150"/>
        <c:axId val="1901147199"/>
        <c:axId val="1901152479"/>
      </c:barChart>
      <c:catAx>
        <c:axId val="190114719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901152479"/>
        <c:crosses val="autoZero"/>
        <c:auto val="1"/>
        <c:lblAlgn val="ctr"/>
        <c:lblOffset val="100"/>
        <c:noMultiLvlLbl val="0"/>
      </c:catAx>
      <c:valAx>
        <c:axId val="190115247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901147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40000"/>
        <a:lumOff val="60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Customer Feedback Analysis.xlsm]Pivot Tables!PivotTable3</c:name>
    <c:fmtId val="7"/>
  </c:pivotSource>
  <c:chart>
    <c:title>
      <c:tx>
        <c:rich>
          <a:bodyPr rot="0" spcFirstLastPara="1" vertOverflow="ellipsis" vert="horz" wrap="square" anchor="ctr" anchorCtr="1"/>
          <a:lstStyle/>
          <a:p>
            <a:pPr algn="ctr" rtl="0">
              <a:defRPr lang="en-US" sz="1400" b="0" i="0" u="none" strike="noStrike" kern="1200" spc="0" baseline="0">
                <a:solidFill>
                  <a:schemeClr val="tx1"/>
                </a:solidFill>
                <a:latin typeface="+mn-lt"/>
                <a:ea typeface="+mn-ea"/>
                <a:cs typeface="+mn-cs"/>
              </a:defRPr>
            </a:pPr>
            <a:r>
              <a:rPr lang="en-US" sz="1400"/>
              <a:t>Feedback Sentiment Analysis</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manualLayout>
          <c:layoutTarget val="inner"/>
          <c:xMode val="edge"/>
          <c:yMode val="edge"/>
          <c:x val="0.10529018767027697"/>
          <c:y val="0.20672326482123946"/>
          <c:w val="0.4507922763134995"/>
          <c:h val="0.67151196270265578"/>
        </c:manualLayout>
      </c:layout>
      <c:doughnutChart>
        <c:varyColors val="1"/>
        <c:ser>
          <c:idx val="0"/>
          <c:order val="0"/>
          <c:tx>
            <c:strRef>
              <c:f>'Pivot Tables'!$H$3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E61-4D3C-9195-9CD02B3D50B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E61-4D3C-9195-9CD02B3D50B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E61-4D3C-9195-9CD02B3D50BF}"/>
              </c:ext>
            </c:extLst>
          </c:dPt>
          <c:dLbls>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Tables'!$G$4:$G$7</c:f>
              <c:strCache>
                <c:ptCount val="3"/>
                <c:pt idx="0">
                  <c:v>Negative</c:v>
                </c:pt>
                <c:pt idx="1">
                  <c:v>Neutral</c:v>
                </c:pt>
                <c:pt idx="2">
                  <c:v>Positive</c:v>
                </c:pt>
              </c:strCache>
            </c:strRef>
          </c:cat>
          <c:val>
            <c:numRef>
              <c:f>'Pivot Tables'!$H$4:$H$7</c:f>
              <c:numCache>
                <c:formatCode>General</c:formatCode>
                <c:ptCount val="3"/>
                <c:pt idx="0">
                  <c:v>1</c:v>
                </c:pt>
                <c:pt idx="1">
                  <c:v>21</c:v>
                </c:pt>
                <c:pt idx="2">
                  <c:v>2</c:v>
                </c:pt>
              </c:numCache>
            </c:numRef>
          </c:val>
          <c:extLst>
            <c:ext xmlns:c16="http://schemas.microsoft.com/office/drawing/2014/chart" uri="{C3380CC4-5D6E-409C-BE32-E72D297353CC}">
              <c16:uniqueId val="{00000006-3E61-4D3C-9195-9CD02B3D50BF}"/>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egendEntry>
        <c:idx val="0"/>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Entry>
      <c:legendEntry>
        <c:idx val="1"/>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Entry>
      <c:legendEntry>
        <c:idx val="2"/>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Entry>
      <c:layout>
        <c:manualLayout>
          <c:xMode val="edge"/>
          <c:yMode val="edge"/>
          <c:x val="0.67222222222222228"/>
          <c:y val="0.38128390201224849"/>
          <c:w val="0.2388888888888889"/>
          <c:h val="0.44979111986001752"/>
        </c:manualLayout>
      </c:layout>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tx1"/>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[Dashboard Customer Feedback Analysis.xlsm]Pivot Tables!PivotTable7</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a:solidFill>
                  <a:schemeClr val="tx1"/>
                </a:solidFill>
              </a:rPr>
              <a:t>Sales</a:t>
            </a:r>
            <a:r>
              <a:rPr lang="en-US" sz="1600" baseline="0">
                <a:solidFill>
                  <a:schemeClr val="tx1"/>
                </a:solidFill>
              </a:rPr>
              <a:t> by Over Time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283239499724828E-2"/>
          <c:y val="0.21022381620105707"/>
          <c:w val="0.92807653955919267"/>
          <c:h val="0.55531675561831362"/>
        </c:manualLayout>
      </c:layout>
      <c:lineChart>
        <c:grouping val="standard"/>
        <c:varyColors val="0"/>
        <c:ser>
          <c:idx val="0"/>
          <c:order val="0"/>
          <c:tx>
            <c:strRef>
              <c:f>'Pivot Tables'!$U$2</c:f>
              <c:strCache>
                <c:ptCount val="1"/>
                <c:pt idx="0">
                  <c:v>Total</c:v>
                </c:pt>
              </c:strCache>
            </c:strRef>
          </c:tx>
          <c:spPr>
            <a:ln w="28575" cap="rnd">
              <a:solidFill>
                <a:schemeClr val="accent1"/>
              </a:solidFill>
              <a:round/>
            </a:ln>
            <a:effectLst/>
          </c:spPr>
          <c:marker>
            <c:symbol val="none"/>
          </c:marker>
          <c:cat>
            <c:strRef>
              <c:f>'Pivot Tables'!$T$3:$T$27</c:f>
              <c:strCache>
                <c:ptCount val="24"/>
                <c:pt idx="0">
                  <c:v>10/1/2023</c:v>
                </c:pt>
                <c:pt idx="1">
                  <c:v>10/2/2023</c:v>
                </c:pt>
                <c:pt idx="2">
                  <c:v>10/3/2023</c:v>
                </c:pt>
                <c:pt idx="3">
                  <c:v>10/4/2023</c:v>
                </c:pt>
                <c:pt idx="4">
                  <c:v>10/5/2023</c:v>
                </c:pt>
                <c:pt idx="5">
                  <c:v>10/6/2023</c:v>
                </c:pt>
                <c:pt idx="6">
                  <c:v>10/7/2023</c:v>
                </c:pt>
                <c:pt idx="7">
                  <c:v>10/8/2023</c:v>
                </c:pt>
                <c:pt idx="8">
                  <c:v>10/9/2023</c:v>
                </c:pt>
                <c:pt idx="9">
                  <c:v>10/10/2023</c:v>
                </c:pt>
                <c:pt idx="10">
                  <c:v>10/11/2023</c:v>
                </c:pt>
                <c:pt idx="11">
                  <c:v>10/12/2023</c:v>
                </c:pt>
                <c:pt idx="12">
                  <c:v>10/13/2023</c:v>
                </c:pt>
                <c:pt idx="13">
                  <c:v>10/14/2023</c:v>
                </c:pt>
                <c:pt idx="14">
                  <c:v>10/15/2023</c:v>
                </c:pt>
                <c:pt idx="15">
                  <c:v>10/16/2023</c:v>
                </c:pt>
                <c:pt idx="16">
                  <c:v>10/17/2023</c:v>
                </c:pt>
                <c:pt idx="17">
                  <c:v>10/18/2023</c:v>
                </c:pt>
                <c:pt idx="18">
                  <c:v>10/19/2023</c:v>
                </c:pt>
                <c:pt idx="19">
                  <c:v>10/20/2023</c:v>
                </c:pt>
                <c:pt idx="20">
                  <c:v>10/21/2023</c:v>
                </c:pt>
                <c:pt idx="21">
                  <c:v>10/22/2023</c:v>
                </c:pt>
                <c:pt idx="22">
                  <c:v>10/23/2023</c:v>
                </c:pt>
                <c:pt idx="23">
                  <c:v>10/24/2023</c:v>
                </c:pt>
              </c:strCache>
            </c:strRef>
          </c:cat>
          <c:val>
            <c:numRef>
              <c:f>'Pivot Tables'!$U$3:$U$27</c:f>
              <c:numCache>
                <c:formatCode>General</c:formatCode>
                <c:ptCount val="24"/>
                <c:pt idx="0">
                  <c:v>120</c:v>
                </c:pt>
                <c:pt idx="1">
                  <c:v>80</c:v>
                </c:pt>
                <c:pt idx="2">
                  <c:v>100</c:v>
                </c:pt>
                <c:pt idx="3">
                  <c:v>150</c:v>
                </c:pt>
                <c:pt idx="4">
                  <c:v>60</c:v>
                </c:pt>
                <c:pt idx="5">
                  <c:v>90</c:v>
                </c:pt>
                <c:pt idx="6">
                  <c:v>110</c:v>
                </c:pt>
                <c:pt idx="7">
                  <c:v>70</c:v>
                </c:pt>
                <c:pt idx="8">
                  <c:v>130</c:v>
                </c:pt>
                <c:pt idx="9">
                  <c:v>100</c:v>
                </c:pt>
                <c:pt idx="10">
                  <c:v>50</c:v>
                </c:pt>
                <c:pt idx="11">
                  <c:v>100</c:v>
                </c:pt>
                <c:pt idx="12">
                  <c:v>140</c:v>
                </c:pt>
                <c:pt idx="13">
                  <c:v>85</c:v>
                </c:pt>
                <c:pt idx="14">
                  <c:v>95</c:v>
                </c:pt>
                <c:pt idx="15">
                  <c:v>160</c:v>
                </c:pt>
                <c:pt idx="16">
                  <c:v>55</c:v>
                </c:pt>
                <c:pt idx="17">
                  <c:v>75</c:v>
                </c:pt>
                <c:pt idx="18">
                  <c:v>125</c:v>
                </c:pt>
                <c:pt idx="19">
                  <c:v>65</c:v>
                </c:pt>
                <c:pt idx="20">
                  <c:v>145</c:v>
                </c:pt>
                <c:pt idx="21">
                  <c:v>100</c:v>
                </c:pt>
                <c:pt idx="22">
                  <c:v>95</c:v>
                </c:pt>
                <c:pt idx="23">
                  <c:v>130</c:v>
                </c:pt>
              </c:numCache>
            </c:numRef>
          </c:val>
          <c:smooth val="0"/>
          <c:extLst>
            <c:ext xmlns:c16="http://schemas.microsoft.com/office/drawing/2014/chart" uri="{C3380CC4-5D6E-409C-BE32-E72D297353CC}">
              <c16:uniqueId val="{00000000-9FD1-4CC2-93B0-85A518EFC860}"/>
            </c:ext>
          </c:extLst>
        </c:ser>
        <c:dLbls>
          <c:showLegendKey val="0"/>
          <c:showVal val="0"/>
          <c:showCatName val="0"/>
          <c:showSerName val="0"/>
          <c:showPercent val="0"/>
          <c:showBubbleSize val="0"/>
        </c:dLbls>
        <c:smooth val="0"/>
        <c:axId val="2093508895"/>
        <c:axId val="2093509375"/>
      </c:lineChart>
      <c:catAx>
        <c:axId val="2093508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crossAx val="2093509375"/>
        <c:crosses val="autoZero"/>
        <c:auto val="1"/>
        <c:lblAlgn val="ctr"/>
        <c:lblOffset val="100"/>
        <c:noMultiLvlLbl val="0"/>
      </c:catAx>
      <c:valAx>
        <c:axId val="20935093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935088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7">
  <a:schemeClr val="accent4"/>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chart" Target="../charts/chart8.xml"/><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259080</xdr:colOff>
      <xdr:row>10</xdr:row>
      <xdr:rowOff>148590</xdr:rowOff>
    </xdr:from>
    <xdr:to>
      <xdr:col>3</xdr:col>
      <xdr:colOff>800100</xdr:colOff>
      <xdr:row>25</xdr:row>
      <xdr:rowOff>148590</xdr:rowOff>
    </xdr:to>
    <xdr:graphicFrame macro="">
      <xdr:nvGraphicFramePr>
        <xdr:cNvPr id="2" name="Chart 1">
          <a:extLst>
            <a:ext uri="{FF2B5EF4-FFF2-40B4-BE49-F238E27FC236}">
              <a16:creationId xmlns:a16="http://schemas.microsoft.com/office/drawing/2014/main" id="{2BDF9D87-1141-5C30-01FF-8AC9D16D4A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464820</xdr:colOff>
      <xdr:row>10</xdr:row>
      <xdr:rowOff>152400</xdr:rowOff>
    </xdr:from>
    <xdr:to>
      <xdr:col>8</xdr:col>
      <xdr:colOff>129540</xdr:colOff>
      <xdr:row>25</xdr:row>
      <xdr:rowOff>152400</xdr:rowOff>
    </xdr:to>
    <xdr:graphicFrame macro="">
      <xdr:nvGraphicFramePr>
        <xdr:cNvPr id="3" name="Chart 2">
          <a:extLst>
            <a:ext uri="{FF2B5EF4-FFF2-40B4-BE49-F238E27FC236}">
              <a16:creationId xmlns:a16="http://schemas.microsoft.com/office/drawing/2014/main" id="{32A2F9C8-1CB2-A6B2-9D1F-5E87080DE8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853440</xdr:colOff>
      <xdr:row>12</xdr:row>
      <xdr:rowOff>30480</xdr:rowOff>
    </xdr:from>
    <xdr:to>
      <xdr:col>14</xdr:col>
      <xdr:colOff>388620</xdr:colOff>
      <xdr:row>27</xdr:row>
      <xdr:rowOff>30480</xdr:rowOff>
    </xdr:to>
    <xdr:graphicFrame macro="">
      <xdr:nvGraphicFramePr>
        <xdr:cNvPr id="5" name="Chart 4">
          <a:extLst>
            <a:ext uri="{FF2B5EF4-FFF2-40B4-BE49-F238E27FC236}">
              <a16:creationId xmlns:a16="http://schemas.microsoft.com/office/drawing/2014/main" id="{B05AFBCA-CF8A-4FA3-2DCA-731EF981AC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434340</xdr:colOff>
      <xdr:row>30</xdr:row>
      <xdr:rowOff>15240</xdr:rowOff>
    </xdr:from>
    <xdr:to>
      <xdr:col>23</xdr:col>
      <xdr:colOff>457200</xdr:colOff>
      <xdr:row>43</xdr:row>
      <xdr:rowOff>144780</xdr:rowOff>
    </xdr:to>
    <xdr:graphicFrame macro="">
      <xdr:nvGraphicFramePr>
        <xdr:cNvPr id="6" name="Chart 5">
          <a:extLst>
            <a:ext uri="{FF2B5EF4-FFF2-40B4-BE49-F238E27FC236}">
              <a16:creationId xmlns:a16="http://schemas.microsoft.com/office/drawing/2014/main" id="{1E59C5AF-9352-467C-23E2-56489AAE39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3</xdr:col>
      <xdr:colOff>396240</xdr:colOff>
      <xdr:row>4</xdr:row>
      <xdr:rowOff>7620</xdr:rowOff>
    </xdr:to>
    <xdr:pic>
      <xdr:nvPicPr>
        <xdr:cNvPr id="6" name="Picture 5">
          <a:extLst>
            <a:ext uri="{FF2B5EF4-FFF2-40B4-BE49-F238E27FC236}">
              <a16:creationId xmlns:a16="http://schemas.microsoft.com/office/drawing/2014/main" id="{D1B6B8CA-226E-E807-C6CB-406C828905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6267"/>
          <a:ext cx="2225040" cy="566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xdr:row>
      <xdr:rowOff>0</xdr:rowOff>
    </xdr:from>
    <xdr:to>
      <xdr:col>3</xdr:col>
      <xdr:colOff>396240</xdr:colOff>
      <xdr:row>10</xdr:row>
      <xdr:rowOff>7620</xdr:rowOff>
    </xdr:to>
    <xdr:pic>
      <xdr:nvPicPr>
        <xdr:cNvPr id="8" name="Picture 7">
          <a:extLst>
            <a:ext uri="{FF2B5EF4-FFF2-40B4-BE49-F238E27FC236}">
              <a16:creationId xmlns:a16="http://schemas.microsoft.com/office/drawing/2014/main" id="{CF885827-5006-B384-C622-6B49B91F1D7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80160"/>
          <a:ext cx="2225040" cy="556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xdr:row>
      <xdr:rowOff>0</xdr:rowOff>
    </xdr:from>
    <xdr:to>
      <xdr:col>3</xdr:col>
      <xdr:colOff>396240</xdr:colOff>
      <xdr:row>16</xdr:row>
      <xdr:rowOff>7620</xdr:rowOff>
    </xdr:to>
    <xdr:pic>
      <xdr:nvPicPr>
        <xdr:cNvPr id="10" name="Picture 9">
          <a:extLst>
            <a:ext uri="{FF2B5EF4-FFF2-40B4-BE49-F238E27FC236}">
              <a16:creationId xmlns:a16="http://schemas.microsoft.com/office/drawing/2014/main" id="{452EE652-5963-A133-6391-A8E384D302A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377440"/>
          <a:ext cx="2225040" cy="556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0</xdr:colOff>
      <xdr:row>6</xdr:row>
      <xdr:rowOff>8467</xdr:rowOff>
    </xdr:from>
    <xdr:to>
      <xdr:col>10</xdr:col>
      <xdr:colOff>129540</xdr:colOff>
      <xdr:row>16</xdr:row>
      <xdr:rowOff>175260</xdr:rowOff>
    </xdr:to>
    <xdr:graphicFrame macro="">
      <xdr:nvGraphicFramePr>
        <xdr:cNvPr id="11" name="Chart 10">
          <a:extLst>
            <a:ext uri="{FF2B5EF4-FFF2-40B4-BE49-F238E27FC236}">
              <a16:creationId xmlns:a16="http://schemas.microsoft.com/office/drawing/2014/main" id="{8695A26B-95A8-4AB3-93D6-FBE1026C54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355600</xdr:colOff>
      <xdr:row>6</xdr:row>
      <xdr:rowOff>16933</xdr:rowOff>
    </xdr:from>
    <xdr:to>
      <xdr:col>17</xdr:col>
      <xdr:colOff>16933</xdr:colOff>
      <xdr:row>17</xdr:row>
      <xdr:rowOff>7620</xdr:rowOff>
    </xdr:to>
    <xdr:graphicFrame macro="">
      <xdr:nvGraphicFramePr>
        <xdr:cNvPr id="12" name="Chart 11">
          <a:extLst>
            <a:ext uri="{FF2B5EF4-FFF2-40B4-BE49-F238E27FC236}">
              <a16:creationId xmlns:a16="http://schemas.microsoft.com/office/drawing/2014/main" id="{21B91C4E-83DE-4F12-8482-9547D1EE28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228601</xdr:colOff>
      <xdr:row>6</xdr:row>
      <xdr:rowOff>16933</xdr:rowOff>
    </xdr:from>
    <xdr:to>
      <xdr:col>23</xdr:col>
      <xdr:colOff>1</xdr:colOff>
      <xdr:row>17</xdr:row>
      <xdr:rowOff>8467</xdr:rowOff>
    </xdr:to>
    <xdr:graphicFrame macro="">
      <xdr:nvGraphicFramePr>
        <xdr:cNvPr id="13" name="Chart 12">
          <a:extLst>
            <a:ext uri="{FF2B5EF4-FFF2-40B4-BE49-F238E27FC236}">
              <a16:creationId xmlns:a16="http://schemas.microsoft.com/office/drawing/2014/main" id="{F67D5FB2-A748-4D55-80C7-F4F6329849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18</xdr:row>
      <xdr:rowOff>0</xdr:rowOff>
    </xdr:from>
    <xdr:to>
      <xdr:col>22</xdr:col>
      <xdr:colOff>567267</xdr:colOff>
      <xdr:row>27</xdr:row>
      <xdr:rowOff>177800</xdr:rowOff>
    </xdr:to>
    <xdr:graphicFrame macro="">
      <xdr:nvGraphicFramePr>
        <xdr:cNvPr id="14" name="Chart 13">
          <a:extLst>
            <a:ext uri="{FF2B5EF4-FFF2-40B4-BE49-F238E27FC236}">
              <a16:creationId xmlns:a16="http://schemas.microsoft.com/office/drawing/2014/main" id="{21FD2EF1-204D-4419-8BF1-519F95040C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23</xdr:col>
      <xdr:colOff>76199</xdr:colOff>
      <xdr:row>2</xdr:row>
      <xdr:rowOff>25401</xdr:rowOff>
    </xdr:from>
    <xdr:to>
      <xdr:col>25</xdr:col>
      <xdr:colOff>414866</xdr:colOff>
      <xdr:row>7</xdr:row>
      <xdr:rowOff>8467</xdr:rowOff>
    </xdr:to>
    <mc:AlternateContent xmlns:mc="http://schemas.openxmlformats.org/markup-compatibility/2006" xmlns:a14="http://schemas.microsoft.com/office/drawing/2010/main">
      <mc:Choice Requires="a14">
        <xdr:graphicFrame macro="">
          <xdr:nvGraphicFramePr>
            <xdr:cNvPr id="15" name="Gender">
              <a:extLst>
                <a:ext uri="{FF2B5EF4-FFF2-40B4-BE49-F238E27FC236}">
                  <a16:creationId xmlns:a16="http://schemas.microsoft.com/office/drawing/2014/main" id="{E27CD191-C34C-0DA1-9F2B-5F90E35DDCA1}"/>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4096999" y="397934"/>
              <a:ext cx="1557867" cy="914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91438</xdr:colOff>
      <xdr:row>9</xdr:row>
      <xdr:rowOff>22861</xdr:rowOff>
    </xdr:from>
    <xdr:to>
      <xdr:col>25</xdr:col>
      <xdr:colOff>389467</xdr:colOff>
      <xdr:row>16</xdr:row>
      <xdr:rowOff>33867</xdr:rowOff>
    </xdr:to>
    <mc:AlternateContent xmlns:mc="http://schemas.openxmlformats.org/markup-compatibility/2006" xmlns:a14="http://schemas.microsoft.com/office/drawing/2010/main">
      <mc:Choice Requires="a14">
        <xdr:graphicFrame macro="">
          <xdr:nvGraphicFramePr>
            <xdr:cNvPr id="16" name="Sentiment">
              <a:extLst>
                <a:ext uri="{FF2B5EF4-FFF2-40B4-BE49-F238E27FC236}">
                  <a16:creationId xmlns:a16="http://schemas.microsoft.com/office/drawing/2014/main" id="{4C29FF34-8F48-999E-D9CA-129DAA9F2649}"/>
                </a:ext>
              </a:extLst>
            </xdr:cNvPr>
            <xdr:cNvGraphicFramePr/>
          </xdr:nvGraphicFramePr>
          <xdr:xfrm>
            <a:off x="0" y="0"/>
            <a:ext cx="0" cy="0"/>
          </xdr:xfrm>
          <a:graphic>
            <a:graphicData uri="http://schemas.microsoft.com/office/drawing/2010/slicer">
              <sle:slicer xmlns:sle="http://schemas.microsoft.com/office/drawing/2010/slicer" name="Sentiment"/>
            </a:graphicData>
          </a:graphic>
        </xdr:graphicFrame>
      </mc:Choice>
      <mc:Fallback xmlns="">
        <xdr:sp macro="" textlink="">
          <xdr:nvSpPr>
            <xdr:cNvPr id="0" name=""/>
            <xdr:cNvSpPr>
              <a:spLocks noTextEdit="1"/>
            </xdr:cNvSpPr>
          </xdr:nvSpPr>
          <xdr:spPr>
            <a:xfrm>
              <a:off x="14112238" y="1699261"/>
              <a:ext cx="1517229" cy="13148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99906</xdr:colOff>
      <xdr:row>17</xdr:row>
      <xdr:rowOff>5927</xdr:rowOff>
    </xdr:from>
    <xdr:to>
      <xdr:col>25</xdr:col>
      <xdr:colOff>423333</xdr:colOff>
      <xdr:row>27</xdr:row>
      <xdr:rowOff>135467</xdr:rowOff>
    </xdr:to>
    <mc:AlternateContent xmlns:mc="http://schemas.openxmlformats.org/markup-compatibility/2006" xmlns:a14="http://schemas.microsoft.com/office/drawing/2010/main">
      <mc:Choice Requires="a14">
        <xdr:graphicFrame macro="">
          <xdr:nvGraphicFramePr>
            <xdr:cNvPr id="17" name="Country">
              <a:extLst>
                <a:ext uri="{FF2B5EF4-FFF2-40B4-BE49-F238E27FC236}">
                  <a16:creationId xmlns:a16="http://schemas.microsoft.com/office/drawing/2014/main" id="{FE553CF4-8012-A373-107F-B2A78D03DD4A}"/>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4120706" y="3172460"/>
              <a:ext cx="1542627" cy="199220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0.25627</cdr:x>
      <cdr:y>0.44398</cdr:y>
    </cdr:from>
    <cdr:to>
      <cdr:x>0.50139</cdr:x>
      <cdr:y>0.70124</cdr:y>
    </cdr:to>
    <cdr:sp macro="" textlink="">
      <cdr:nvSpPr>
        <cdr:cNvPr id="2" name="TextBox 1">
          <a:extLst xmlns:a="http://schemas.openxmlformats.org/drawingml/2006/main">
            <a:ext uri="{FF2B5EF4-FFF2-40B4-BE49-F238E27FC236}">
              <a16:creationId xmlns:a16="http://schemas.microsoft.com/office/drawing/2014/main" id="{6EA03CE9-9C8A-E312-EE98-084FC659D301}"/>
            </a:ext>
          </a:extLst>
        </cdr:cNvPr>
        <cdr:cNvSpPr txBox="1"/>
      </cdr:nvSpPr>
      <cdr:spPr>
        <a:xfrm xmlns:a="http://schemas.openxmlformats.org/drawingml/2006/main">
          <a:off x="778933" y="905934"/>
          <a:ext cx="745067" cy="5249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0.21727</cdr:x>
      <cdr:y>0.36515</cdr:y>
    </cdr:from>
    <cdr:to>
      <cdr:x>0.46797</cdr:x>
      <cdr:y>0.6805</cdr:y>
    </cdr:to>
    <cdr:sp macro="" textlink="">
      <cdr:nvSpPr>
        <cdr:cNvPr id="3" name="TextBox 2">
          <a:extLst xmlns:a="http://schemas.openxmlformats.org/drawingml/2006/main">
            <a:ext uri="{FF2B5EF4-FFF2-40B4-BE49-F238E27FC236}">
              <a16:creationId xmlns:a16="http://schemas.microsoft.com/office/drawing/2014/main" id="{C0C98101-A3E8-CAE0-9BD2-9043B21AA0EC}"/>
            </a:ext>
          </a:extLst>
        </cdr:cNvPr>
        <cdr:cNvSpPr txBox="1"/>
      </cdr:nvSpPr>
      <cdr:spPr>
        <a:xfrm xmlns:a="http://schemas.openxmlformats.org/drawingml/2006/main">
          <a:off x="660399" y="745068"/>
          <a:ext cx="761999" cy="64346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3600" kern="1200"/>
            <a:t>24</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rsh Kore" refreshedDate="45712.015301041669" createdVersion="8" refreshedVersion="8" minRefreshableVersion="3" recordCount="24" xr:uid="{A8DDB8D6-20EB-46D3-9309-A32B1D236A44}">
  <cacheSource type="worksheet">
    <worksheetSource name="Customer_Data"/>
  </cacheSource>
  <cacheFields count="10">
    <cacheField name="Customer ID" numFmtId="0">
      <sharedItems containsSemiMixedTypes="0" containsString="0" containsNumber="1" containsInteger="1" minValue="1" maxValue="25"/>
    </cacheField>
    <cacheField name="Satisfaction Score" numFmtId="0">
      <sharedItems containsSemiMixedTypes="0" containsString="0" containsNumber="1" containsInteger="1" minValue="1" maxValue="5"/>
    </cacheField>
    <cacheField name="Age" numFmtId="0">
      <sharedItems containsSemiMixedTypes="0" containsString="0" containsNumber="1" containsInteger="1" minValue="19" maxValue="45" count="20">
        <n v="25"/>
        <n v="34"/>
        <n v="29"/>
        <n v="42"/>
        <n v="22"/>
        <n v="31"/>
        <n v="28"/>
        <n v="19"/>
        <n v="45"/>
        <n v="37"/>
        <n v="26"/>
        <n v="30"/>
        <n v="23"/>
        <n v="40"/>
        <n v="33"/>
        <n v="27"/>
        <n v="21"/>
        <n v="38"/>
        <n v="24"/>
        <n v="36"/>
      </sharedItems>
    </cacheField>
    <cacheField name="Gender" numFmtId="0">
      <sharedItems count="2">
        <s v="Female"/>
        <s v="Male"/>
      </sharedItems>
    </cacheField>
    <cacheField name="Country" numFmtId="0">
      <sharedItems count="6">
        <s v="Japan"/>
        <s v="India"/>
        <s v="China"/>
        <s v="South Korea"/>
        <s v="Thailand"/>
        <s v="Vietnam"/>
      </sharedItems>
    </cacheField>
    <cacheField name="Purchase Amount (USD)" numFmtId="0">
      <sharedItems containsSemiMixedTypes="0" containsString="0" containsNumber="1" containsInteger="1" minValue="50" maxValue="160"/>
    </cacheField>
    <cacheField name="Feedback" numFmtId="0">
      <sharedItems containsBlank="1"/>
    </cacheField>
    <cacheField name="Date of Purchase" numFmtId="14">
      <sharedItems containsSemiMixedTypes="0" containsNonDate="0" containsDate="1" containsString="0" minDate="2023-10-01T00:00:00" maxDate="2023-10-25T00:00:00" count="24">
        <d v="2023-10-01T00:00:00"/>
        <d v="2023-10-02T00:00:00"/>
        <d v="2023-10-03T00:00:00"/>
        <d v="2023-10-04T00:00:00"/>
        <d v="2023-10-05T00:00:00"/>
        <d v="2023-10-06T00:00:00"/>
        <d v="2023-10-07T00:00:00"/>
        <d v="2023-10-08T00:00:00"/>
        <d v="2023-10-09T00:00:00"/>
        <d v="2023-10-10T00:00:00"/>
        <d v="2023-10-11T00:00:00"/>
        <d v="2023-10-12T00:00:00"/>
        <d v="2023-10-13T00:00:00"/>
        <d v="2023-10-14T00:00:00"/>
        <d v="2023-10-15T00:00:00"/>
        <d v="2023-10-16T00:00:00"/>
        <d v="2023-10-17T00:00:00"/>
        <d v="2023-10-18T00:00:00"/>
        <d v="2023-10-19T00:00:00"/>
        <d v="2023-10-20T00:00:00"/>
        <d v="2023-10-21T00:00:00"/>
        <d v="2023-10-22T00:00:00"/>
        <d v="2023-10-23T00:00:00"/>
        <d v="2023-10-24T00:00:00"/>
      </sharedItems>
    </cacheField>
    <cacheField name="Format Cleaned" numFmtId="0">
      <sharedItems/>
    </cacheField>
    <cacheField name="Sentiment" numFmtId="0">
      <sharedItems count="3">
        <s v="Positive"/>
        <s v="Neutral"/>
        <s v="Negative"/>
      </sharedItems>
    </cacheField>
  </cacheFields>
  <extLst>
    <ext xmlns:x14="http://schemas.microsoft.com/office/spreadsheetml/2009/9/main" uri="{725AE2AE-9491-48be-B2B4-4EB974FC3084}">
      <x14:pivotCacheDefinition pivotCacheId="11102181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n v="1"/>
    <n v="4"/>
    <x v="0"/>
    <x v="0"/>
    <x v="0"/>
    <n v="120"/>
    <s v="Great quality, but a bit expensive."/>
    <x v="0"/>
    <s v="Great quality, but a bit expensive."/>
    <x v="0"/>
  </r>
  <r>
    <n v="2"/>
    <n v="5"/>
    <x v="1"/>
    <x v="1"/>
    <x v="1"/>
    <n v="80"/>
    <s v="Loved the design and fit!"/>
    <x v="1"/>
    <s v="Loved the design and fit!"/>
    <x v="1"/>
  </r>
  <r>
    <n v="3"/>
    <n v="3"/>
    <x v="2"/>
    <x v="0"/>
    <x v="2"/>
    <n v="100"/>
    <m/>
    <x v="2"/>
    <s v="Neutral/Negative Feedback"/>
    <x v="1"/>
  </r>
  <r>
    <n v="4"/>
    <n v="4"/>
    <x v="3"/>
    <x v="1"/>
    <x v="3"/>
    <n v="150"/>
    <s v="Good material, but delivery was late."/>
    <x v="3"/>
    <s v="Good material, but delivery was late."/>
    <x v="1"/>
  </r>
  <r>
    <n v="5"/>
    <n v="5"/>
    <x v="4"/>
    <x v="0"/>
    <x v="4"/>
    <n v="60"/>
    <s v="Perfect for the price!"/>
    <x v="4"/>
    <s v="Perfect for the price!"/>
    <x v="1"/>
  </r>
  <r>
    <n v="6"/>
    <n v="2"/>
    <x v="5"/>
    <x v="1"/>
    <x v="5"/>
    <n v="90"/>
    <s v="Not satisfied with the fabric quality."/>
    <x v="5"/>
    <s v="Not satisfied with the fabric quality."/>
    <x v="1"/>
  </r>
  <r>
    <n v="7"/>
    <n v="4"/>
    <x v="6"/>
    <x v="0"/>
    <x v="0"/>
    <n v="110"/>
    <s v="Nice product, will buy again."/>
    <x v="6"/>
    <s v="Nice product, will buy again."/>
    <x v="1"/>
  </r>
  <r>
    <n v="8"/>
    <n v="5"/>
    <x v="7"/>
    <x v="0"/>
    <x v="1"/>
    <n v="70"/>
    <s v="Amazing collection!"/>
    <x v="7"/>
    <s v="Amazing collection!"/>
    <x v="1"/>
  </r>
  <r>
    <n v="9"/>
    <n v="3"/>
    <x v="8"/>
    <x v="1"/>
    <x v="2"/>
    <n v="130"/>
    <s v="Average experience."/>
    <x v="8"/>
    <s v="Average experience."/>
    <x v="1"/>
  </r>
  <r>
    <n v="10"/>
    <n v="4"/>
    <x v="9"/>
    <x v="0"/>
    <x v="3"/>
    <n v="100"/>
    <m/>
    <x v="9"/>
    <s v="Positive Feedback"/>
    <x v="1"/>
  </r>
  <r>
    <n v="11"/>
    <n v="5"/>
    <x v="10"/>
    <x v="1"/>
    <x v="4"/>
    <n v="50"/>
    <s v="Very comfortable and stylish."/>
    <x v="10"/>
    <s v="Very comfortable and stylish."/>
    <x v="1"/>
  </r>
  <r>
    <n v="12"/>
    <n v="1"/>
    <x v="11"/>
    <x v="0"/>
    <x v="5"/>
    <n v="100"/>
    <s v="Poor customer service."/>
    <x v="11"/>
    <s v="Poor customer service."/>
    <x v="2"/>
  </r>
  <r>
    <n v="13"/>
    <n v="4"/>
    <x v="12"/>
    <x v="0"/>
    <x v="0"/>
    <n v="140"/>
    <s v="Good value for money."/>
    <x v="12"/>
    <s v="Good value for money."/>
    <x v="1"/>
  </r>
  <r>
    <n v="14"/>
    <n v="5"/>
    <x v="13"/>
    <x v="1"/>
    <x v="1"/>
    <n v="85"/>
    <s v="Excellent product!"/>
    <x v="13"/>
    <s v="Excellent product!"/>
    <x v="1"/>
  </r>
  <r>
    <n v="15"/>
    <n v="3"/>
    <x v="14"/>
    <x v="0"/>
    <x v="2"/>
    <n v="95"/>
    <s v="Could be better."/>
    <x v="14"/>
    <s v="Could be better."/>
    <x v="1"/>
  </r>
  <r>
    <n v="16"/>
    <n v="4"/>
    <x v="15"/>
    <x v="1"/>
    <x v="3"/>
    <n v="160"/>
    <s v="Loved it!"/>
    <x v="15"/>
    <s v="Loved it!"/>
    <x v="1"/>
  </r>
  <r>
    <n v="17"/>
    <n v="5"/>
    <x v="16"/>
    <x v="0"/>
    <x v="4"/>
    <n v="55"/>
    <s v="Best purchase ever!"/>
    <x v="16"/>
    <s v="Best purchase ever!"/>
    <x v="1"/>
  </r>
  <r>
    <n v="18"/>
    <n v="2"/>
    <x v="17"/>
    <x v="1"/>
    <x v="5"/>
    <n v="75"/>
    <s v="Disappointed with the sizing."/>
    <x v="17"/>
    <s v="Disappointed with the sizing."/>
    <x v="1"/>
  </r>
  <r>
    <n v="19"/>
    <n v="4"/>
    <x v="2"/>
    <x v="0"/>
    <x v="0"/>
    <n v="125"/>
    <s v="Great experience overall."/>
    <x v="18"/>
    <s v="Great experience overall."/>
    <x v="0"/>
  </r>
  <r>
    <n v="20"/>
    <n v="5"/>
    <x v="18"/>
    <x v="1"/>
    <x v="1"/>
    <n v="65"/>
    <s v="Highly recommended!"/>
    <x v="19"/>
    <s v="Highly recommended!"/>
    <x v="1"/>
  </r>
  <r>
    <n v="22"/>
    <n v="5"/>
    <x v="19"/>
    <x v="1"/>
    <x v="3"/>
    <n v="145"/>
    <s v="Fantastic service and product."/>
    <x v="20"/>
    <s v="Fantastic service and product."/>
    <x v="1"/>
  </r>
  <r>
    <n v="23"/>
    <n v="3"/>
    <x v="5"/>
    <x v="0"/>
    <x v="4"/>
    <n v="100"/>
    <m/>
    <x v="21"/>
    <s v="Neutral/Negative Feedback"/>
    <x v="1"/>
  </r>
  <r>
    <n v="24"/>
    <n v="4"/>
    <x v="6"/>
    <x v="1"/>
    <x v="5"/>
    <n v="95"/>
    <s v="Good, but could improve."/>
    <x v="22"/>
    <s v="Good, but could improve."/>
    <x v="1"/>
  </r>
  <r>
    <n v="25"/>
    <n v="5"/>
    <x v="4"/>
    <x v="0"/>
    <x v="0"/>
    <n v="130"/>
    <s v="Absolutely love it!"/>
    <x v="23"/>
    <s v="Absolutely love it!"/>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BD654B-749A-4203-808B-F779E44D04E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B10" firstHeaderRow="1" firstDataRow="1" firstDataCol="1"/>
  <pivotFields count="10">
    <pivotField showAll="0"/>
    <pivotField dataField="1" showAll="0"/>
    <pivotField showAll="0"/>
    <pivotField showAll="0">
      <items count="3">
        <item x="0"/>
        <item x="1"/>
        <item t="default"/>
      </items>
    </pivotField>
    <pivotField axis="axisRow" showAll="0">
      <items count="7">
        <item x="2"/>
        <item x="1"/>
        <item x="0"/>
        <item x="3"/>
        <item x="4"/>
        <item x="5"/>
        <item t="default"/>
      </items>
    </pivotField>
    <pivotField showAll="0"/>
    <pivotField showAll="0"/>
    <pivotField numFmtId="14" showAll="0"/>
    <pivotField showAll="0"/>
    <pivotField showAll="0">
      <items count="4">
        <item x="2"/>
        <item x="1"/>
        <item x="0"/>
        <item t="default"/>
      </items>
    </pivotField>
  </pivotFields>
  <rowFields count="1">
    <field x="4"/>
  </rowFields>
  <rowItems count="7">
    <i>
      <x/>
    </i>
    <i>
      <x v="1"/>
    </i>
    <i>
      <x v="2"/>
    </i>
    <i>
      <x v="3"/>
    </i>
    <i>
      <x v="4"/>
    </i>
    <i>
      <x v="5"/>
    </i>
    <i t="grand">
      <x/>
    </i>
  </rowItems>
  <colItems count="1">
    <i/>
  </colItems>
  <dataFields count="1">
    <dataField name="Average of Satisfaction Score" fld="1" subtotal="average" baseField="4" baseItem="0"/>
  </dataFields>
  <chartFormats count="2">
    <chartFormat chart="0"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978BE8-D3A6-42FC-A595-ACC418ED7414}"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T2:U27" firstHeaderRow="1" firstDataRow="1" firstDataCol="1"/>
  <pivotFields count="10">
    <pivotField showAll="0"/>
    <pivotField showAll="0"/>
    <pivotField showAll="0"/>
    <pivotField showAll="0"/>
    <pivotField showAll="0"/>
    <pivotField dataField="1" showAll="0"/>
    <pivotField showAll="0"/>
    <pivotField axis="axisRow" numFmtId="14"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s>
  <rowFields count="1">
    <field x="7"/>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 of Purchase Amount (USD)" fld="5" baseField="0" baseItem="0"/>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4F566EB-F3F2-42A8-8551-0650728EF85F}"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G3:H7" firstHeaderRow="1" firstDataRow="1" firstDataCol="1"/>
  <pivotFields count="10">
    <pivotField showAll="0"/>
    <pivotField showAll="0"/>
    <pivotField showAll="0"/>
    <pivotField showAll="0">
      <items count="3">
        <item x="0"/>
        <item x="1"/>
        <item t="default"/>
      </items>
    </pivotField>
    <pivotField showAll="0">
      <items count="7">
        <item x="2"/>
        <item x="1"/>
        <item x="0"/>
        <item x="3"/>
        <item x="4"/>
        <item x="5"/>
        <item t="default"/>
      </items>
    </pivotField>
    <pivotField showAll="0"/>
    <pivotField showAll="0"/>
    <pivotField numFmtId="14" showAll="0"/>
    <pivotField showAll="0"/>
    <pivotField axis="axisRow" dataField="1" showAll="0">
      <items count="4">
        <item x="2"/>
        <item x="1"/>
        <item x="0"/>
        <item t="default"/>
      </items>
    </pivotField>
  </pivotFields>
  <rowFields count="1">
    <field x="9"/>
  </rowFields>
  <rowItems count="4">
    <i>
      <x/>
    </i>
    <i>
      <x v="1"/>
    </i>
    <i>
      <x v="2"/>
    </i>
    <i t="grand">
      <x/>
    </i>
  </rowItems>
  <colItems count="1">
    <i/>
  </colItems>
  <dataFields count="1">
    <dataField name="Count of Sentiment" fld="9" subtotal="count" baseField="0" baseItem="0"/>
  </dataFields>
  <chartFormats count="8">
    <chartFormat chart="3" format="0"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 chart="7" format="6">
      <pivotArea type="data" outline="0" fieldPosition="0">
        <references count="2">
          <reference field="4294967294" count="1" selected="0">
            <x v="0"/>
          </reference>
          <reference field="9" count="1" selected="0">
            <x v="0"/>
          </reference>
        </references>
      </pivotArea>
    </chartFormat>
    <chartFormat chart="7" format="7">
      <pivotArea type="data" outline="0" fieldPosition="0">
        <references count="2">
          <reference field="4294967294" count="1" selected="0">
            <x v="0"/>
          </reference>
          <reference field="9" count="1" selected="0">
            <x v="1"/>
          </reference>
        </references>
      </pivotArea>
    </chartFormat>
    <chartFormat chart="7" format="8">
      <pivotArea type="data" outline="0" fieldPosition="0">
        <references count="2">
          <reference field="4294967294" count="1" selected="0">
            <x v="0"/>
          </reference>
          <reference field="9" count="1" selected="0">
            <x v="2"/>
          </reference>
        </references>
      </pivotArea>
    </chartFormat>
    <chartFormat chart="3" format="1">
      <pivotArea type="data" outline="0" fieldPosition="0">
        <references count="2">
          <reference field="4294967294" count="1" selected="0">
            <x v="0"/>
          </reference>
          <reference field="9" count="1" selected="0">
            <x v="0"/>
          </reference>
        </references>
      </pivotArea>
    </chartFormat>
    <chartFormat chart="3" format="2">
      <pivotArea type="data" outline="0" fieldPosition="0">
        <references count="2">
          <reference field="4294967294" count="1" selected="0">
            <x v="0"/>
          </reference>
          <reference field="9" count="1" selected="0">
            <x v="1"/>
          </reference>
        </references>
      </pivotArea>
    </chartFormat>
    <chartFormat chart="3" format="3">
      <pivotArea type="data" outline="0" fieldPosition="0">
        <references count="2">
          <reference field="4294967294" count="1" selected="0">
            <x v="0"/>
          </reference>
          <reference field="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81AD300-37CF-4E33-A7C9-53F2265BDC8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D3:E6" firstHeaderRow="1" firstDataRow="1" firstDataCol="1"/>
  <pivotFields count="10">
    <pivotField showAll="0"/>
    <pivotField showAll="0"/>
    <pivotField showAll="0"/>
    <pivotField axis="axisRow" showAll="0">
      <items count="3">
        <item x="0"/>
        <item x="1"/>
        <item t="default"/>
      </items>
    </pivotField>
    <pivotField showAll="0">
      <items count="7">
        <item x="2"/>
        <item x="1"/>
        <item x="0"/>
        <item x="3"/>
        <item x="4"/>
        <item x="5"/>
        <item t="default"/>
      </items>
    </pivotField>
    <pivotField dataField="1" showAll="0"/>
    <pivotField showAll="0"/>
    <pivotField numFmtId="14" showAll="0"/>
    <pivotField showAll="0"/>
    <pivotField showAll="0">
      <items count="4">
        <item x="2"/>
        <item x="1"/>
        <item x="0"/>
        <item t="default"/>
      </items>
    </pivotField>
  </pivotFields>
  <rowFields count="1">
    <field x="3"/>
  </rowFields>
  <rowItems count="3">
    <i>
      <x/>
    </i>
    <i>
      <x v="1"/>
    </i>
    <i t="grand">
      <x/>
    </i>
  </rowItems>
  <colItems count="1">
    <i/>
  </colItems>
  <dataFields count="1">
    <dataField name="Sum of Purchase Amount (USD)" fld="5" baseField="0" baseItem="0"/>
  </dataFields>
  <chartFormats count="2">
    <chartFormat chart="0"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3102BE07-14A2-4113-96AA-96FECAFA563B}" sourceName="Gender">
  <pivotTables>
    <pivotTable tabId="3" name="PivotTable1"/>
    <pivotTable tabId="3" name="PivotTable2"/>
    <pivotTable tabId="3" name="PivotTable3"/>
  </pivotTables>
  <data>
    <tabular pivotCacheId="1110218138">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ntiment" xr10:uid="{7A515E93-22CA-4A20-A233-10B123218B98}" sourceName="Sentiment">
  <pivotTables>
    <pivotTable tabId="3" name="PivotTable2"/>
    <pivotTable tabId="3" name="PivotTable1"/>
    <pivotTable tabId="3" name="PivotTable3"/>
  </pivotTables>
  <data>
    <tabular pivotCacheId="1110218138">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E3DC58E3-F042-4627-8CBC-66634ADCF3AA}" sourceName="Country">
  <pivotTables>
    <pivotTable tabId="3" name="PivotTable1"/>
    <pivotTable tabId="3" name="PivotTable2"/>
    <pivotTable tabId="3" name="PivotTable3"/>
  </pivotTables>
  <data>
    <tabular pivotCacheId="1110218138">
      <items count="6">
        <i x="2" s="1"/>
        <i x="1" s="1"/>
        <i x="0" s="1"/>
        <i x="3" s="1"/>
        <i x="4"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163A1CDF-0B8B-4DA0-8577-A680436C4F31}" cache="Slicer_Gender" caption="Gender" style="SlicerStyleLight4" rowHeight="234950"/>
  <slicer name="Sentiment" xr10:uid="{88790E76-75CF-4436-AE43-9143B501954E}" cache="Slicer_Sentiment" caption="Sentiment" style="SlicerStyleLight4" rowHeight="234950"/>
  <slicer name="Country" xr10:uid="{82DB0B43-52F0-480F-9401-2C79CF11C3E9}" cache="Slicer_Country" caption="Country" style="SlicerStyleLight4"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63E963-5115-48F1-8DAC-A3CFC7D00C95}" name="Customer_Data" displayName="Customer_Data" ref="A1:J25" totalsRowShown="0" headerRowDxfId="12" dataDxfId="11">
  <autoFilter ref="A1:J25" xr:uid="{B263E963-5115-48F1-8DAC-A3CFC7D00C95}"/>
  <tableColumns count="10">
    <tableColumn id="1" xr3:uid="{B9374626-BEB5-4FCD-98C0-C95DF8DE41AB}" name="Customer ID" dataDxfId="10"/>
    <tableColumn id="2" xr3:uid="{DB54EFF1-558F-497A-BCC4-61D4B540EBE7}" name="Satisfaction Score" dataDxfId="9"/>
    <tableColumn id="3" xr3:uid="{C72438E1-D824-4645-8B3B-DECEA6AE1858}" name="Age" dataDxfId="8"/>
    <tableColumn id="4" xr3:uid="{60E7840A-8610-4E83-A456-90CDB0CA4290}" name="Gender" dataDxfId="7"/>
    <tableColumn id="5" xr3:uid="{04995BFC-1709-4D96-B00A-DAB655186C62}" name="Country" dataDxfId="6"/>
    <tableColumn id="6" xr3:uid="{8CE3DAA9-0AC3-4D8F-B61B-C9B21C46A7F0}" name="Purchase Amount (USD)" dataDxfId="5"/>
    <tableColumn id="7" xr3:uid="{90462598-2CB8-40B7-A5EC-3B982FA617D3}" name="Feedback" dataDxfId="4"/>
    <tableColumn id="8" xr3:uid="{FFEFDF89-968C-4843-84FC-3AC264D4E4F0}" name="Date of Purchase" dataDxfId="3"/>
    <tableColumn id="9" xr3:uid="{679BFFA4-44ED-4C1E-83E0-285EF589E443}" name="Format Cleaned" dataDxfId="2">
      <calculatedColumnFormula>IF(ISBLANK(Customer_Data[[#This Row],[Feedback]]), IF(Customer_Data[[#This Row],[Satisfaction Score]]&gt;=4, "Positive Feedback", "Neutral/Negative Feedback"), Customer_Data[[#This Row],[Feedback]])</calculatedColumnFormula>
    </tableColumn>
    <tableColumn id="10" xr3:uid="{690B2193-477C-4A7B-A8D9-0CD68FE56DC0}" name="Sentiment" dataDxfId="1">
      <calculatedColumnFormula>IF(ISNUMBER(SEARCH("great",LOWER(Customer_Data[[#This Row],[Feedback]]))),"Positive",IF(ISNUMBER(SEARCH("poor",LOWER(Customer_Data[[#This Row],[Feedback]]))),"Negative","Neutral"))</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648C8-0872-484E-B0E3-10D440780CC6}">
  <dimension ref="A1:AD27"/>
  <sheetViews>
    <sheetView topLeftCell="R1" workbookViewId="0">
      <selection activeCell="X14" sqref="X14"/>
    </sheetView>
  </sheetViews>
  <sheetFormatPr defaultRowHeight="14.4" x14ac:dyDescent="0.3"/>
  <cols>
    <col min="1" max="1" width="12.5546875" bestFit="1" customWidth="1"/>
    <col min="2" max="2" width="25.88671875" bestFit="1" customWidth="1"/>
    <col min="4" max="4" width="12.5546875" bestFit="1" customWidth="1"/>
    <col min="5" max="5" width="28.21875" bestFit="1" customWidth="1"/>
    <col min="7" max="7" width="12.5546875" bestFit="1" customWidth="1"/>
    <col min="8" max="9" width="17.6640625" bestFit="1" customWidth="1"/>
    <col min="10" max="10" width="12.5546875" bestFit="1" customWidth="1"/>
    <col min="11" max="11" width="17.6640625" bestFit="1" customWidth="1"/>
    <col min="12" max="12" width="7.21875" bestFit="1" customWidth="1"/>
    <col min="13" max="13" width="7.5546875" bestFit="1" customWidth="1"/>
    <col min="14" max="14" width="10.77734375" bestFit="1" customWidth="1"/>
    <col min="15" max="19" width="9.77734375" bestFit="1" customWidth="1"/>
    <col min="20" max="20" width="12.5546875" bestFit="1" customWidth="1"/>
    <col min="21" max="21" width="28.21875" bestFit="1" customWidth="1"/>
    <col min="22" max="35" width="10.77734375" bestFit="1" customWidth="1"/>
  </cols>
  <sheetData>
    <row r="1" spans="1:30" x14ac:dyDescent="0.3">
      <c r="G1" s="6"/>
      <c r="H1" s="6"/>
    </row>
    <row r="2" spans="1:30" x14ac:dyDescent="0.3">
      <c r="A2" s="16" t="s">
        <v>41</v>
      </c>
      <c r="B2" s="16"/>
      <c r="D2" s="16" t="s">
        <v>42</v>
      </c>
      <c r="E2" s="16"/>
      <c r="G2" s="16" t="s">
        <v>49</v>
      </c>
      <c r="H2" s="16"/>
      <c r="T2" s="1" t="s">
        <v>38</v>
      </c>
      <c r="U2" t="s">
        <v>43</v>
      </c>
      <c r="AC2" s="15">
        <v>24</v>
      </c>
      <c r="AD2" s="15"/>
    </row>
    <row r="3" spans="1:30" x14ac:dyDescent="0.3">
      <c r="A3" s="1" t="s">
        <v>38</v>
      </c>
      <c r="B3" t="s">
        <v>40</v>
      </c>
      <c r="D3" s="1" t="s">
        <v>38</v>
      </c>
      <c r="E3" t="s">
        <v>43</v>
      </c>
      <c r="G3" s="1" t="s">
        <v>38</v>
      </c>
      <c r="H3" t="s">
        <v>48</v>
      </c>
      <c r="T3" s="5">
        <v>45200</v>
      </c>
      <c r="U3">
        <v>120</v>
      </c>
      <c r="X3" s="17" t="s">
        <v>51</v>
      </c>
      <c r="Y3" s="17"/>
      <c r="Z3" s="17"/>
      <c r="AC3" s="15"/>
      <c r="AD3" s="15"/>
    </row>
    <row r="4" spans="1:30" x14ac:dyDescent="0.3">
      <c r="A4" s="2" t="s">
        <v>14</v>
      </c>
      <c r="B4" s="28">
        <v>3</v>
      </c>
      <c r="D4" s="2" t="s">
        <v>8</v>
      </c>
      <c r="E4" s="28">
        <v>1305</v>
      </c>
      <c r="G4" s="2" t="s">
        <v>45</v>
      </c>
      <c r="H4" s="28">
        <v>1</v>
      </c>
      <c r="T4" s="5">
        <v>45201</v>
      </c>
      <c r="U4">
        <v>80</v>
      </c>
      <c r="X4" s="17"/>
      <c r="Y4" s="17"/>
      <c r="Z4" s="17"/>
    </row>
    <row r="5" spans="1:30" x14ac:dyDescent="0.3">
      <c r="A5" s="2" t="s">
        <v>12</v>
      </c>
      <c r="B5" s="28">
        <v>5</v>
      </c>
      <c r="D5" s="2" t="s">
        <v>11</v>
      </c>
      <c r="E5" s="28">
        <v>1125</v>
      </c>
      <c r="G5" s="2" t="s">
        <v>46</v>
      </c>
      <c r="H5" s="28">
        <v>21</v>
      </c>
      <c r="T5" s="5">
        <v>45202</v>
      </c>
      <c r="U5">
        <v>100</v>
      </c>
      <c r="X5" s="14">
        <f>SUM(Customer_Data[Purchase Amount (USD)])</f>
        <v>2430</v>
      </c>
      <c r="Y5" s="14"/>
      <c r="Z5" s="14"/>
    </row>
    <row r="6" spans="1:30" x14ac:dyDescent="0.3">
      <c r="A6" s="2" t="s">
        <v>9</v>
      </c>
      <c r="B6" s="28">
        <v>4.2</v>
      </c>
      <c r="D6" s="2" t="s">
        <v>39</v>
      </c>
      <c r="E6" s="28">
        <v>2430</v>
      </c>
      <c r="G6" s="2" t="s">
        <v>47</v>
      </c>
      <c r="H6" s="28">
        <v>2</v>
      </c>
      <c r="T6" s="5">
        <v>45203</v>
      </c>
      <c r="U6">
        <v>150</v>
      </c>
    </row>
    <row r="7" spans="1:30" ht="14.4" customHeight="1" x14ac:dyDescent="0.3">
      <c r="A7" s="2" t="s">
        <v>15</v>
      </c>
      <c r="B7" s="28">
        <v>4.25</v>
      </c>
      <c r="G7" s="2" t="s">
        <v>39</v>
      </c>
      <c r="H7" s="28">
        <v>24</v>
      </c>
      <c r="T7" s="5">
        <v>45204</v>
      </c>
      <c r="U7">
        <v>60</v>
      </c>
      <c r="X7" s="11" t="s">
        <v>52</v>
      </c>
      <c r="Y7" s="11"/>
      <c r="Z7" s="11"/>
    </row>
    <row r="8" spans="1:30" ht="14.4" customHeight="1" x14ac:dyDescent="0.3">
      <c r="A8" s="2" t="s">
        <v>17</v>
      </c>
      <c r="B8" s="28">
        <v>4.5</v>
      </c>
      <c r="T8" s="5">
        <v>45205</v>
      </c>
      <c r="U8">
        <v>90</v>
      </c>
      <c r="X8" s="11"/>
      <c r="Y8" s="11"/>
      <c r="Z8" s="11"/>
    </row>
    <row r="9" spans="1:30" x14ac:dyDescent="0.3">
      <c r="A9" s="2" t="s">
        <v>19</v>
      </c>
      <c r="B9" s="28">
        <v>2.25</v>
      </c>
      <c r="T9" s="5">
        <v>45206</v>
      </c>
      <c r="U9">
        <v>110</v>
      </c>
      <c r="X9" s="12">
        <f>AVERAGE(Customer_Data[Satisfaction Score])</f>
        <v>3.9166666666666665</v>
      </c>
      <c r="Y9" s="12"/>
      <c r="Z9" s="12"/>
    </row>
    <row r="10" spans="1:30" x14ac:dyDescent="0.3">
      <c r="A10" s="2" t="s">
        <v>39</v>
      </c>
      <c r="B10" s="28">
        <v>3.9166666666666665</v>
      </c>
      <c r="T10" s="5">
        <v>45207</v>
      </c>
      <c r="U10">
        <v>70</v>
      </c>
    </row>
    <row r="11" spans="1:30" ht="14.4" customHeight="1" x14ac:dyDescent="0.3">
      <c r="T11" s="5">
        <v>45208</v>
      </c>
      <c r="U11">
        <v>130</v>
      </c>
      <c r="X11" s="13" t="s">
        <v>53</v>
      </c>
      <c r="Y11" s="13"/>
      <c r="Z11" s="13"/>
    </row>
    <row r="12" spans="1:30" ht="14.4" customHeight="1" x14ac:dyDescent="0.3">
      <c r="T12" s="5">
        <v>45209</v>
      </c>
      <c r="U12">
        <v>100</v>
      </c>
      <c r="X12" s="13"/>
      <c r="Y12" s="13"/>
      <c r="Z12" s="13"/>
    </row>
    <row r="13" spans="1:30" x14ac:dyDescent="0.3">
      <c r="T13" s="5">
        <v>45210</v>
      </c>
      <c r="U13">
        <v>50</v>
      </c>
      <c r="X13" s="14">
        <f>COUNTA(Customer_Data[Customer ID])</f>
        <v>24</v>
      </c>
      <c r="Y13" s="14"/>
      <c r="Z13" s="14"/>
    </row>
    <row r="14" spans="1:30" x14ac:dyDescent="0.3">
      <c r="T14" s="5">
        <v>45211</v>
      </c>
      <c r="U14">
        <v>100</v>
      </c>
    </row>
    <row r="15" spans="1:30" x14ac:dyDescent="0.3">
      <c r="T15" s="5">
        <v>45212</v>
      </c>
      <c r="U15">
        <v>140</v>
      </c>
    </row>
    <row r="16" spans="1:30" x14ac:dyDescent="0.3">
      <c r="T16" s="5">
        <v>45213</v>
      </c>
      <c r="U16">
        <v>85</v>
      </c>
    </row>
    <row r="17" spans="20:21" x14ac:dyDescent="0.3">
      <c r="T17" s="5">
        <v>45214</v>
      </c>
      <c r="U17">
        <v>95</v>
      </c>
    </row>
    <row r="18" spans="20:21" x14ac:dyDescent="0.3">
      <c r="T18" s="5">
        <v>45215</v>
      </c>
      <c r="U18">
        <v>160</v>
      </c>
    </row>
    <row r="19" spans="20:21" x14ac:dyDescent="0.3">
      <c r="T19" s="5">
        <v>45216</v>
      </c>
      <c r="U19">
        <v>55</v>
      </c>
    </row>
    <row r="20" spans="20:21" x14ac:dyDescent="0.3">
      <c r="T20" s="5">
        <v>45217</v>
      </c>
      <c r="U20">
        <v>75</v>
      </c>
    </row>
    <row r="21" spans="20:21" x14ac:dyDescent="0.3">
      <c r="T21" s="5">
        <v>45218</v>
      </c>
      <c r="U21">
        <v>125</v>
      </c>
    </row>
    <row r="22" spans="20:21" x14ac:dyDescent="0.3">
      <c r="T22" s="5">
        <v>45219</v>
      </c>
      <c r="U22">
        <v>65</v>
      </c>
    </row>
    <row r="23" spans="20:21" x14ac:dyDescent="0.3">
      <c r="T23" s="5">
        <v>45220</v>
      </c>
      <c r="U23">
        <v>145</v>
      </c>
    </row>
    <row r="24" spans="20:21" x14ac:dyDescent="0.3">
      <c r="T24" s="5">
        <v>45221</v>
      </c>
      <c r="U24">
        <v>100</v>
      </c>
    </row>
    <row r="25" spans="20:21" x14ac:dyDescent="0.3">
      <c r="T25" s="5">
        <v>45222</v>
      </c>
      <c r="U25">
        <v>95</v>
      </c>
    </row>
    <row r="26" spans="20:21" x14ac:dyDescent="0.3">
      <c r="T26" s="5">
        <v>45223</v>
      </c>
      <c r="U26">
        <v>130</v>
      </c>
    </row>
    <row r="27" spans="20:21" x14ac:dyDescent="0.3">
      <c r="T27" s="5" t="s">
        <v>39</v>
      </c>
      <c r="U27">
        <v>2430</v>
      </c>
    </row>
  </sheetData>
  <mergeCells count="10">
    <mergeCell ref="A2:B2"/>
    <mergeCell ref="D2:E2"/>
    <mergeCell ref="G2:H2"/>
    <mergeCell ref="X3:Z4"/>
    <mergeCell ref="X5:Z5"/>
    <mergeCell ref="X7:Z8"/>
    <mergeCell ref="X9:Z9"/>
    <mergeCell ref="X11:Z12"/>
    <mergeCell ref="X13:Z13"/>
    <mergeCell ref="AC2:AD3"/>
  </mergeCells>
  <conditionalFormatting sqref="X5:Z5">
    <cfRule type="iconSet" priority="3">
      <iconSet iconSet="5Arrows">
        <cfvo type="percent" val="0"/>
        <cfvo type="percent" val="20"/>
        <cfvo type="percent" val="40"/>
        <cfvo type="percent" val="60"/>
        <cfvo type="percent" val="80"/>
      </iconSet>
    </cfRule>
  </conditionalFormatting>
  <conditionalFormatting sqref="X9:Z9">
    <cfRule type="iconSet" priority="2">
      <iconSet iconSet="4Arrows">
        <cfvo type="percent" val="0"/>
        <cfvo type="percent" val="25"/>
        <cfvo type="percent" val="50"/>
        <cfvo type="percent" val="75"/>
      </iconSet>
    </cfRule>
  </conditionalFormatting>
  <conditionalFormatting sqref="X13:Z13">
    <cfRule type="iconSet" priority="1">
      <iconSet iconSet="5Arrows">
        <cfvo type="percent" val="0"/>
        <cfvo type="percent" val="20"/>
        <cfvo type="percent" val="40"/>
        <cfvo type="percent" val="60"/>
        <cfvo type="percent" val="80"/>
      </iconSet>
    </cfRule>
  </conditionalFormatting>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E623E-D2CC-4CF9-8906-08B343B195D7}">
  <dimension ref="A1:L26"/>
  <sheetViews>
    <sheetView topLeftCell="A20" workbookViewId="0">
      <selection activeCell="C41" sqref="C41"/>
    </sheetView>
  </sheetViews>
  <sheetFormatPr defaultRowHeight="14.4" x14ac:dyDescent="0.3"/>
  <cols>
    <col min="1" max="1" width="13.21875" customWidth="1"/>
    <col min="2" max="2" width="22.33203125" customWidth="1"/>
    <col min="4" max="4" width="14.6640625" customWidth="1"/>
    <col min="5" max="5" width="19.6640625" customWidth="1"/>
    <col min="6" max="6" width="23.21875" customWidth="1"/>
    <col min="7" max="7" width="37.33203125" customWidth="1"/>
    <col min="8" max="8" width="17.77734375" customWidth="1"/>
    <col min="9" max="9" width="42.6640625" customWidth="1"/>
    <col min="10" max="10" width="15" style="3" customWidth="1"/>
  </cols>
  <sheetData>
    <row r="1" spans="1:12" x14ac:dyDescent="0.3">
      <c r="A1" s="3" t="s">
        <v>0</v>
      </c>
      <c r="B1" s="3" t="s">
        <v>1</v>
      </c>
      <c r="C1" s="3" t="s">
        <v>2</v>
      </c>
      <c r="D1" s="3" t="s">
        <v>3</v>
      </c>
      <c r="E1" s="3" t="s">
        <v>4</v>
      </c>
      <c r="F1" s="3" t="s">
        <v>5</v>
      </c>
      <c r="G1" s="3" t="s">
        <v>6</v>
      </c>
      <c r="H1" s="3" t="s">
        <v>7</v>
      </c>
      <c r="I1" s="3" t="s">
        <v>37</v>
      </c>
      <c r="J1" s="3" t="s">
        <v>44</v>
      </c>
    </row>
    <row r="2" spans="1:12" x14ac:dyDescent="0.3">
      <c r="A2" s="3">
        <v>1</v>
      </c>
      <c r="B2" s="3">
        <v>4</v>
      </c>
      <c r="C2" s="3">
        <v>25</v>
      </c>
      <c r="D2" s="3" t="s">
        <v>8</v>
      </c>
      <c r="E2" s="3" t="s">
        <v>9</v>
      </c>
      <c r="F2" s="3">
        <v>120</v>
      </c>
      <c r="G2" s="3" t="s">
        <v>10</v>
      </c>
      <c r="H2" s="4">
        <v>45200</v>
      </c>
      <c r="I2" s="3" t="str">
        <f>IF(ISBLANK(Customer_Data[[#This Row],[Feedback]]), IF(Customer_Data[[#This Row],[Satisfaction Score]]&gt;=4, "Positive Feedback", "Neutral/Negative Feedback"), Customer_Data[[#This Row],[Feedback]])</f>
        <v>Great quality, but a bit expensive.</v>
      </c>
      <c r="J2" s="3" t="str">
        <f>IF(ISNUMBER(SEARCH("great",LOWER(Customer_Data[[#This Row],[Feedback]]))),"Positive",IF(ISNUMBER(SEARCH("poor",LOWER(Customer_Data[[#This Row],[Feedback]]))),"Negative","Neutral"))</f>
        <v>Positive</v>
      </c>
    </row>
    <row r="3" spans="1:12" x14ac:dyDescent="0.3">
      <c r="A3" s="3">
        <v>2</v>
      </c>
      <c r="B3" s="3">
        <v>5</v>
      </c>
      <c r="C3" s="3">
        <v>34</v>
      </c>
      <c r="D3" s="3" t="s">
        <v>11</v>
      </c>
      <c r="E3" s="3" t="s">
        <v>12</v>
      </c>
      <c r="F3" s="3">
        <v>80</v>
      </c>
      <c r="G3" s="3" t="s">
        <v>13</v>
      </c>
      <c r="H3" s="4">
        <v>45201</v>
      </c>
      <c r="I3" s="3" t="str">
        <f>IF(ISBLANK(Customer_Data[[#This Row],[Feedback]]), IF(Customer_Data[[#This Row],[Satisfaction Score]]&gt;=4, "Positive Feedback", "Neutral/Negative Feedback"), Customer_Data[[#This Row],[Feedback]])</f>
        <v>Loved the design and fit!</v>
      </c>
      <c r="J3" s="3" t="str">
        <f>IF(ISNUMBER(SEARCH("great",LOWER(Customer_Data[[#This Row],[Feedback]]))),"Positive",IF(ISNUMBER(SEARCH("poor",LOWER(Customer_Data[[#This Row],[Feedback]]))),"Negative","Neutral"))</f>
        <v>Neutral</v>
      </c>
      <c r="L3">
        <f>MEDIAN(C2:C27)</f>
        <v>29</v>
      </c>
    </row>
    <row r="4" spans="1:12" x14ac:dyDescent="0.3">
      <c r="A4" s="3">
        <v>3</v>
      </c>
      <c r="B4" s="3">
        <v>3</v>
      </c>
      <c r="C4" s="3">
        <v>29</v>
      </c>
      <c r="D4" s="3" t="s">
        <v>8</v>
      </c>
      <c r="E4" s="3" t="s">
        <v>14</v>
      </c>
      <c r="F4" s="3">
        <v>100</v>
      </c>
      <c r="G4" s="3"/>
      <c r="H4" s="4">
        <v>45202</v>
      </c>
      <c r="I4" s="3" t="str">
        <f>IF(ISBLANK(Customer_Data[[#This Row],[Feedback]]), IF(Customer_Data[[#This Row],[Satisfaction Score]]&gt;=4, "Positive Feedback", "Neutral/Negative Feedback"), Customer_Data[[#This Row],[Feedback]])</f>
        <v>Neutral/Negative Feedback</v>
      </c>
      <c r="J4" s="3" t="str">
        <f>IF(ISNUMBER(SEARCH("great",LOWER(Customer_Data[[#This Row],[Feedback]]))),"Positive",IF(ISNUMBER(SEARCH("poor",LOWER(Customer_Data[[#This Row],[Feedback]]))),"Negative","Neutral"))</f>
        <v>Neutral</v>
      </c>
      <c r="L4">
        <f>MEDIAN(F2:F27)</f>
        <v>100</v>
      </c>
    </row>
    <row r="5" spans="1:12" x14ac:dyDescent="0.3">
      <c r="A5" s="3">
        <v>4</v>
      </c>
      <c r="B5" s="3">
        <v>4</v>
      </c>
      <c r="C5" s="3">
        <v>42</v>
      </c>
      <c r="D5" s="3" t="s">
        <v>11</v>
      </c>
      <c r="E5" s="3" t="s">
        <v>15</v>
      </c>
      <c r="F5" s="3">
        <v>150</v>
      </c>
      <c r="G5" s="3" t="s">
        <v>16</v>
      </c>
      <c r="H5" s="4">
        <v>45203</v>
      </c>
      <c r="I5" s="3" t="str">
        <f>IF(ISBLANK(Customer_Data[[#This Row],[Feedback]]), IF(Customer_Data[[#This Row],[Satisfaction Score]]&gt;=4, "Positive Feedback", "Neutral/Negative Feedback"), Customer_Data[[#This Row],[Feedback]])</f>
        <v>Good material, but delivery was late.</v>
      </c>
      <c r="J5" s="3" t="str">
        <f>IF(ISNUMBER(SEARCH("great",LOWER(Customer_Data[[#This Row],[Feedback]]))),"Positive",IF(ISNUMBER(SEARCH("poor",LOWER(Customer_Data[[#This Row],[Feedback]]))),"Negative","Neutral"))</f>
        <v>Neutral</v>
      </c>
      <c r="L5" t="e">
        <f>MEDIAN(A26:A27)</f>
        <v>#NUM!</v>
      </c>
    </row>
    <row r="6" spans="1:12" x14ac:dyDescent="0.3">
      <c r="A6" s="3">
        <v>5</v>
      </c>
      <c r="B6" s="3">
        <v>5</v>
      </c>
      <c r="C6" s="3">
        <v>22</v>
      </c>
      <c r="D6" s="3" t="s">
        <v>8</v>
      </c>
      <c r="E6" s="3" t="s">
        <v>17</v>
      </c>
      <c r="F6" s="3">
        <v>60</v>
      </c>
      <c r="G6" s="3" t="s">
        <v>18</v>
      </c>
      <c r="H6" s="4">
        <v>45204</v>
      </c>
      <c r="I6" s="3" t="str">
        <f>IF(ISBLANK(Customer_Data[[#This Row],[Feedback]]), IF(Customer_Data[[#This Row],[Satisfaction Score]]&gt;=4, "Positive Feedback", "Neutral/Negative Feedback"), Customer_Data[[#This Row],[Feedback]])</f>
        <v>Perfect for the price!</v>
      </c>
      <c r="J6" s="3" t="str">
        <f>IF(ISNUMBER(SEARCH("great",LOWER(Customer_Data[[#This Row],[Feedback]]))),"Positive",IF(ISNUMBER(SEARCH("poor",LOWER(Customer_Data[[#This Row],[Feedback]]))),"Negative","Neutral"))</f>
        <v>Neutral</v>
      </c>
    </row>
    <row r="7" spans="1:12" x14ac:dyDescent="0.3">
      <c r="A7" s="3">
        <v>6</v>
      </c>
      <c r="B7" s="3">
        <v>2</v>
      </c>
      <c r="C7" s="3">
        <v>31</v>
      </c>
      <c r="D7" s="3" t="s">
        <v>11</v>
      </c>
      <c r="E7" s="3" t="s">
        <v>19</v>
      </c>
      <c r="F7" s="3">
        <v>90</v>
      </c>
      <c r="G7" s="3" t="s">
        <v>20</v>
      </c>
      <c r="H7" s="4">
        <v>45205</v>
      </c>
      <c r="I7" s="3" t="str">
        <f>IF(ISBLANK(Customer_Data[[#This Row],[Feedback]]), IF(Customer_Data[[#This Row],[Satisfaction Score]]&gt;=4, "Positive Feedback", "Neutral/Negative Feedback"), Customer_Data[[#This Row],[Feedback]])</f>
        <v>Not satisfied with the fabric quality.</v>
      </c>
      <c r="J7" s="3" t="str">
        <f>IF(ISNUMBER(SEARCH("great",LOWER(Customer_Data[[#This Row],[Feedback]]))),"Positive",IF(ISNUMBER(SEARCH("poor",LOWER(Customer_Data[[#This Row],[Feedback]]))),"Negative","Neutral"))</f>
        <v>Neutral</v>
      </c>
    </row>
    <row r="8" spans="1:12" x14ac:dyDescent="0.3">
      <c r="A8" s="3">
        <v>7</v>
      </c>
      <c r="B8" s="3">
        <v>4</v>
      </c>
      <c r="C8" s="3">
        <v>28</v>
      </c>
      <c r="D8" s="3" t="s">
        <v>8</v>
      </c>
      <c r="E8" s="3" t="s">
        <v>9</v>
      </c>
      <c r="F8" s="3">
        <v>110</v>
      </c>
      <c r="G8" s="3" t="s">
        <v>21</v>
      </c>
      <c r="H8" s="4">
        <v>45206</v>
      </c>
      <c r="I8" s="3" t="str">
        <f>IF(ISBLANK(Customer_Data[[#This Row],[Feedback]]), IF(Customer_Data[[#This Row],[Satisfaction Score]]&gt;=4, "Positive Feedback", "Neutral/Negative Feedback"), Customer_Data[[#This Row],[Feedback]])</f>
        <v>Nice product, will buy again.</v>
      </c>
      <c r="J8" s="3" t="str">
        <f>IF(ISNUMBER(SEARCH("great",LOWER(Customer_Data[[#This Row],[Feedback]]))),"Positive",IF(ISNUMBER(SEARCH("poor",LOWER(Customer_Data[[#This Row],[Feedback]]))),"Negative","Neutral"))</f>
        <v>Neutral</v>
      </c>
    </row>
    <row r="9" spans="1:12" x14ac:dyDescent="0.3">
      <c r="A9" s="3">
        <v>8</v>
      </c>
      <c r="B9" s="3">
        <v>5</v>
      </c>
      <c r="C9" s="3">
        <v>19</v>
      </c>
      <c r="D9" s="3" t="s">
        <v>8</v>
      </c>
      <c r="E9" s="3" t="s">
        <v>12</v>
      </c>
      <c r="F9" s="3">
        <v>70</v>
      </c>
      <c r="G9" s="3" t="s">
        <v>22</v>
      </c>
      <c r="H9" s="4">
        <v>45207</v>
      </c>
      <c r="I9" s="3" t="str">
        <f>IF(ISBLANK(Customer_Data[[#This Row],[Feedback]]), IF(Customer_Data[[#This Row],[Satisfaction Score]]&gt;=4, "Positive Feedback", "Neutral/Negative Feedback"), Customer_Data[[#This Row],[Feedback]])</f>
        <v>Amazing collection!</v>
      </c>
      <c r="J9" s="3" t="str">
        <f>IF(ISNUMBER(SEARCH("great",LOWER(Customer_Data[[#This Row],[Feedback]]))),"Positive",IF(ISNUMBER(SEARCH("poor",LOWER(Customer_Data[[#This Row],[Feedback]]))),"Negative","Neutral"))</f>
        <v>Neutral</v>
      </c>
    </row>
    <row r="10" spans="1:12" x14ac:dyDescent="0.3">
      <c r="A10" s="3">
        <v>9</v>
      </c>
      <c r="B10" s="3">
        <v>3</v>
      </c>
      <c r="C10" s="3">
        <v>45</v>
      </c>
      <c r="D10" s="3" t="s">
        <v>11</v>
      </c>
      <c r="E10" s="3" t="s">
        <v>14</v>
      </c>
      <c r="F10" s="3">
        <v>130</v>
      </c>
      <c r="G10" s="3" t="s">
        <v>23</v>
      </c>
      <c r="H10" s="4">
        <v>45208</v>
      </c>
      <c r="I10" s="3" t="str">
        <f>IF(ISBLANK(Customer_Data[[#This Row],[Feedback]]), IF(Customer_Data[[#This Row],[Satisfaction Score]]&gt;=4, "Positive Feedback", "Neutral/Negative Feedback"), Customer_Data[[#This Row],[Feedback]])</f>
        <v>Average experience.</v>
      </c>
      <c r="J10" s="3" t="str">
        <f>IF(ISNUMBER(SEARCH("great",LOWER(Customer_Data[[#This Row],[Feedback]]))),"Positive",IF(ISNUMBER(SEARCH("poor",LOWER(Customer_Data[[#This Row],[Feedback]]))),"Negative","Neutral"))</f>
        <v>Neutral</v>
      </c>
    </row>
    <row r="11" spans="1:12" x14ac:dyDescent="0.3">
      <c r="A11" s="3">
        <v>10</v>
      </c>
      <c r="B11" s="3">
        <v>4</v>
      </c>
      <c r="C11" s="3">
        <v>37</v>
      </c>
      <c r="D11" s="3" t="s">
        <v>8</v>
      </c>
      <c r="E11" s="3" t="s">
        <v>15</v>
      </c>
      <c r="F11" s="3">
        <v>100</v>
      </c>
      <c r="G11" s="3"/>
      <c r="H11" s="4">
        <v>45209</v>
      </c>
      <c r="I11" s="3" t="str">
        <f>IF(ISBLANK(Customer_Data[[#This Row],[Feedback]]), IF(Customer_Data[[#This Row],[Satisfaction Score]]&gt;=4, "Positive Feedback", "Neutral/Negative Feedback"), Customer_Data[[#This Row],[Feedback]])</f>
        <v>Positive Feedback</v>
      </c>
      <c r="J11" s="3" t="str">
        <f>IF(ISNUMBER(SEARCH("great",LOWER(Customer_Data[[#This Row],[Feedback]]))),"Positive",IF(ISNUMBER(SEARCH("poor",LOWER(Customer_Data[[#This Row],[Feedback]]))),"Negative","Neutral"))</f>
        <v>Neutral</v>
      </c>
    </row>
    <row r="12" spans="1:12" x14ac:dyDescent="0.3">
      <c r="A12" s="3">
        <v>11</v>
      </c>
      <c r="B12" s="3">
        <v>5</v>
      </c>
      <c r="C12" s="3">
        <v>26</v>
      </c>
      <c r="D12" s="3" t="s">
        <v>11</v>
      </c>
      <c r="E12" s="3" t="s">
        <v>17</v>
      </c>
      <c r="F12" s="3">
        <v>50</v>
      </c>
      <c r="G12" s="3" t="s">
        <v>24</v>
      </c>
      <c r="H12" s="4">
        <v>45210</v>
      </c>
      <c r="I12" s="3" t="str">
        <f>IF(ISBLANK(Customer_Data[[#This Row],[Feedback]]), IF(Customer_Data[[#This Row],[Satisfaction Score]]&gt;=4, "Positive Feedback", "Neutral/Negative Feedback"), Customer_Data[[#This Row],[Feedback]])</f>
        <v>Very comfortable and stylish.</v>
      </c>
      <c r="J12" s="3" t="str">
        <f>IF(ISNUMBER(SEARCH("great",LOWER(Customer_Data[[#This Row],[Feedback]]))),"Positive",IF(ISNUMBER(SEARCH("poor",LOWER(Customer_Data[[#This Row],[Feedback]]))),"Negative","Neutral"))</f>
        <v>Neutral</v>
      </c>
    </row>
    <row r="13" spans="1:12" x14ac:dyDescent="0.3">
      <c r="A13" s="3">
        <v>12</v>
      </c>
      <c r="B13" s="3">
        <v>1</v>
      </c>
      <c r="C13" s="3">
        <v>30</v>
      </c>
      <c r="D13" s="3" t="s">
        <v>8</v>
      </c>
      <c r="E13" s="3" t="s">
        <v>19</v>
      </c>
      <c r="F13" s="3">
        <v>100</v>
      </c>
      <c r="G13" s="3" t="s">
        <v>25</v>
      </c>
      <c r="H13" s="4">
        <v>45211</v>
      </c>
      <c r="I13" s="3" t="str">
        <f>IF(ISBLANK(Customer_Data[[#This Row],[Feedback]]), IF(Customer_Data[[#This Row],[Satisfaction Score]]&gt;=4, "Positive Feedback", "Neutral/Negative Feedback"), Customer_Data[[#This Row],[Feedback]])</f>
        <v>Poor customer service.</v>
      </c>
      <c r="J13" s="3" t="str">
        <f>IF(ISNUMBER(SEARCH("great",LOWER(Customer_Data[[#This Row],[Feedback]]))),"Positive",IF(ISNUMBER(SEARCH("poor",LOWER(Customer_Data[[#This Row],[Feedback]]))),"Negative","Neutral"))</f>
        <v>Negative</v>
      </c>
    </row>
    <row r="14" spans="1:12" x14ac:dyDescent="0.3">
      <c r="A14" s="3">
        <v>13</v>
      </c>
      <c r="B14" s="3">
        <v>4</v>
      </c>
      <c r="C14" s="3">
        <v>23</v>
      </c>
      <c r="D14" s="3" t="s">
        <v>8</v>
      </c>
      <c r="E14" s="3" t="s">
        <v>9</v>
      </c>
      <c r="F14" s="3">
        <v>140</v>
      </c>
      <c r="G14" s="3" t="s">
        <v>26</v>
      </c>
      <c r="H14" s="4">
        <v>45212</v>
      </c>
      <c r="I14" s="3" t="str">
        <f>IF(ISBLANK(Customer_Data[[#This Row],[Feedback]]), IF(Customer_Data[[#This Row],[Satisfaction Score]]&gt;=4, "Positive Feedback", "Neutral/Negative Feedback"), Customer_Data[[#This Row],[Feedback]])</f>
        <v>Good value for money.</v>
      </c>
      <c r="J14" s="3" t="str">
        <f>IF(ISNUMBER(SEARCH("great",LOWER(Customer_Data[[#This Row],[Feedback]]))),"Positive",IF(ISNUMBER(SEARCH("poor",LOWER(Customer_Data[[#This Row],[Feedback]]))),"Negative","Neutral"))</f>
        <v>Neutral</v>
      </c>
    </row>
    <row r="15" spans="1:12" x14ac:dyDescent="0.3">
      <c r="A15" s="3">
        <v>14</v>
      </c>
      <c r="B15" s="3">
        <v>5</v>
      </c>
      <c r="C15" s="3">
        <v>40</v>
      </c>
      <c r="D15" s="3" t="s">
        <v>11</v>
      </c>
      <c r="E15" s="3" t="s">
        <v>12</v>
      </c>
      <c r="F15" s="3">
        <v>85</v>
      </c>
      <c r="G15" s="3" t="s">
        <v>27</v>
      </c>
      <c r="H15" s="4">
        <v>45213</v>
      </c>
      <c r="I15" s="3" t="str">
        <f>IF(ISBLANK(Customer_Data[[#This Row],[Feedback]]), IF(Customer_Data[[#This Row],[Satisfaction Score]]&gt;=4, "Positive Feedback", "Neutral/Negative Feedback"), Customer_Data[[#This Row],[Feedback]])</f>
        <v>Excellent product!</v>
      </c>
      <c r="J15" s="3" t="str">
        <f>IF(ISNUMBER(SEARCH("great",LOWER(Customer_Data[[#This Row],[Feedback]]))),"Positive",IF(ISNUMBER(SEARCH("poor",LOWER(Customer_Data[[#This Row],[Feedback]]))),"Negative","Neutral"))</f>
        <v>Neutral</v>
      </c>
    </row>
    <row r="16" spans="1:12" x14ac:dyDescent="0.3">
      <c r="A16" s="3">
        <v>15</v>
      </c>
      <c r="B16" s="3">
        <v>3</v>
      </c>
      <c r="C16" s="3">
        <v>33</v>
      </c>
      <c r="D16" s="3" t="s">
        <v>8</v>
      </c>
      <c r="E16" s="3" t="s">
        <v>14</v>
      </c>
      <c r="F16" s="3">
        <v>95</v>
      </c>
      <c r="G16" s="3" t="s">
        <v>28</v>
      </c>
      <c r="H16" s="4">
        <v>45214</v>
      </c>
      <c r="I16" s="3" t="str">
        <f>IF(ISBLANK(Customer_Data[[#This Row],[Feedback]]), IF(Customer_Data[[#This Row],[Satisfaction Score]]&gt;=4, "Positive Feedback", "Neutral/Negative Feedback"), Customer_Data[[#This Row],[Feedback]])</f>
        <v>Could be better.</v>
      </c>
      <c r="J16" s="3" t="str">
        <f>IF(ISNUMBER(SEARCH("great",LOWER(Customer_Data[[#This Row],[Feedback]]))),"Positive",IF(ISNUMBER(SEARCH("poor",LOWER(Customer_Data[[#This Row],[Feedback]]))),"Negative","Neutral"))</f>
        <v>Neutral</v>
      </c>
    </row>
    <row r="17" spans="1:10" x14ac:dyDescent="0.3">
      <c r="A17" s="3">
        <v>16</v>
      </c>
      <c r="B17" s="3">
        <v>4</v>
      </c>
      <c r="C17" s="3">
        <v>27</v>
      </c>
      <c r="D17" s="3" t="s">
        <v>11</v>
      </c>
      <c r="E17" s="3" t="s">
        <v>15</v>
      </c>
      <c r="F17" s="3">
        <v>160</v>
      </c>
      <c r="G17" s="3" t="s">
        <v>29</v>
      </c>
      <c r="H17" s="4">
        <v>45215</v>
      </c>
      <c r="I17" s="3" t="str">
        <f>IF(ISBLANK(Customer_Data[[#This Row],[Feedback]]), IF(Customer_Data[[#This Row],[Satisfaction Score]]&gt;=4, "Positive Feedback", "Neutral/Negative Feedback"), Customer_Data[[#This Row],[Feedback]])</f>
        <v>Loved it!</v>
      </c>
      <c r="J17" s="3" t="str">
        <f>IF(ISNUMBER(SEARCH("great",LOWER(Customer_Data[[#This Row],[Feedback]]))),"Positive",IF(ISNUMBER(SEARCH("poor",LOWER(Customer_Data[[#This Row],[Feedback]]))),"Negative","Neutral"))</f>
        <v>Neutral</v>
      </c>
    </row>
    <row r="18" spans="1:10" x14ac:dyDescent="0.3">
      <c r="A18" s="3">
        <v>17</v>
      </c>
      <c r="B18" s="3">
        <v>5</v>
      </c>
      <c r="C18" s="3">
        <v>21</v>
      </c>
      <c r="D18" s="3" t="s">
        <v>8</v>
      </c>
      <c r="E18" s="3" t="s">
        <v>17</v>
      </c>
      <c r="F18" s="3">
        <v>55</v>
      </c>
      <c r="G18" s="3" t="s">
        <v>30</v>
      </c>
      <c r="H18" s="4">
        <v>45216</v>
      </c>
      <c r="I18" s="3" t="str">
        <f>IF(ISBLANK(Customer_Data[[#This Row],[Feedback]]), IF(Customer_Data[[#This Row],[Satisfaction Score]]&gt;=4, "Positive Feedback", "Neutral/Negative Feedback"), Customer_Data[[#This Row],[Feedback]])</f>
        <v>Best purchase ever!</v>
      </c>
      <c r="J18" s="3" t="str">
        <f>IF(ISNUMBER(SEARCH("great",LOWER(Customer_Data[[#This Row],[Feedback]]))),"Positive",IF(ISNUMBER(SEARCH("poor",LOWER(Customer_Data[[#This Row],[Feedback]]))),"Negative","Neutral"))</f>
        <v>Neutral</v>
      </c>
    </row>
    <row r="19" spans="1:10" x14ac:dyDescent="0.3">
      <c r="A19" s="3">
        <v>18</v>
      </c>
      <c r="B19" s="3">
        <v>2</v>
      </c>
      <c r="C19" s="3">
        <v>38</v>
      </c>
      <c r="D19" s="3" t="s">
        <v>11</v>
      </c>
      <c r="E19" s="3" t="s">
        <v>19</v>
      </c>
      <c r="F19" s="3">
        <v>75</v>
      </c>
      <c r="G19" s="3" t="s">
        <v>31</v>
      </c>
      <c r="H19" s="4">
        <v>45217</v>
      </c>
      <c r="I19" s="3" t="str">
        <f>IF(ISBLANK(Customer_Data[[#This Row],[Feedback]]), IF(Customer_Data[[#This Row],[Satisfaction Score]]&gt;=4, "Positive Feedback", "Neutral/Negative Feedback"), Customer_Data[[#This Row],[Feedback]])</f>
        <v>Disappointed with the sizing.</v>
      </c>
      <c r="J19" s="3" t="str">
        <f>IF(ISNUMBER(SEARCH("great",LOWER(Customer_Data[[#This Row],[Feedback]]))),"Positive",IF(ISNUMBER(SEARCH("poor",LOWER(Customer_Data[[#This Row],[Feedback]]))),"Negative","Neutral"))</f>
        <v>Neutral</v>
      </c>
    </row>
    <row r="20" spans="1:10" x14ac:dyDescent="0.3">
      <c r="A20" s="3">
        <v>19</v>
      </c>
      <c r="B20" s="3">
        <v>4</v>
      </c>
      <c r="C20" s="3">
        <v>29</v>
      </c>
      <c r="D20" s="3" t="s">
        <v>8</v>
      </c>
      <c r="E20" s="3" t="s">
        <v>9</v>
      </c>
      <c r="F20" s="3">
        <v>125</v>
      </c>
      <c r="G20" s="3" t="s">
        <v>32</v>
      </c>
      <c r="H20" s="4">
        <v>45218</v>
      </c>
      <c r="I20" s="3" t="str">
        <f>IF(ISBLANK(Customer_Data[[#This Row],[Feedback]]), IF(Customer_Data[[#This Row],[Satisfaction Score]]&gt;=4, "Positive Feedback", "Neutral/Negative Feedback"), Customer_Data[[#This Row],[Feedback]])</f>
        <v>Great experience overall.</v>
      </c>
      <c r="J20" s="3" t="str">
        <f>IF(ISNUMBER(SEARCH("great",LOWER(Customer_Data[[#This Row],[Feedback]]))),"Positive",IF(ISNUMBER(SEARCH("poor",LOWER(Customer_Data[[#This Row],[Feedback]]))),"Negative","Neutral"))</f>
        <v>Positive</v>
      </c>
    </row>
    <row r="21" spans="1:10" x14ac:dyDescent="0.3">
      <c r="A21" s="3">
        <v>20</v>
      </c>
      <c r="B21" s="3">
        <v>5</v>
      </c>
      <c r="C21" s="3">
        <v>24</v>
      </c>
      <c r="D21" s="3" t="s">
        <v>11</v>
      </c>
      <c r="E21" s="3" t="s">
        <v>12</v>
      </c>
      <c r="F21" s="3">
        <v>65</v>
      </c>
      <c r="G21" s="3" t="s">
        <v>33</v>
      </c>
      <c r="H21" s="4">
        <v>45219</v>
      </c>
      <c r="I21" s="3" t="str">
        <f>IF(ISBLANK(Customer_Data[[#This Row],[Feedback]]), IF(Customer_Data[[#This Row],[Satisfaction Score]]&gt;=4, "Positive Feedback", "Neutral/Negative Feedback"), Customer_Data[[#This Row],[Feedback]])</f>
        <v>Highly recommended!</v>
      </c>
      <c r="J21" s="3" t="str">
        <f>IF(ISNUMBER(SEARCH("great",LOWER(Customer_Data[[#This Row],[Feedback]]))),"Positive",IF(ISNUMBER(SEARCH("poor",LOWER(Customer_Data[[#This Row],[Feedback]]))),"Negative","Neutral"))</f>
        <v>Neutral</v>
      </c>
    </row>
    <row r="22" spans="1:10" x14ac:dyDescent="0.3">
      <c r="A22" s="3">
        <v>22</v>
      </c>
      <c r="B22" s="3">
        <v>5</v>
      </c>
      <c r="C22" s="3">
        <v>36</v>
      </c>
      <c r="D22" s="3" t="s">
        <v>11</v>
      </c>
      <c r="E22" s="3" t="s">
        <v>15</v>
      </c>
      <c r="F22" s="3">
        <v>145</v>
      </c>
      <c r="G22" s="3" t="s">
        <v>34</v>
      </c>
      <c r="H22" s="4">
        <v>45220</v>
      </c>
      <c r="I22" s="3" t="str">
        <f>IF(ISBLANK(Customer_Data[[#This Row],[Feedback]]), IF(Customer_Data[[#This Row],[Satisfaction Score]]&gt;=4, "Positive Feedback", "Neutral/Negative Feedback"), Customer_Data[[#This Row],[Feedback]])</f>
        <v>Fantastic service and product.</v>
      </c>
      <c r="J22" s="3" t="str">
        <f>IF(ISNUMBER(SEARCH("great",LOWER(Customer_Data[[#This Row],[Feedback]]))),"Positive",IF(ISNUMBER(SEARCH("poor",LOWER(Customer_Data[[#This Row],[Feedback]]))),"Negative","Neutral"))</f>
        <v>Neutral</v>
      </c>
    </row>
    <row r="23" spans="1:10" x14ac:dyDescent="0.3">
      <c r="A23" s="3">
        <v>23</v>
      </c>
      <c r="B23" s="3">
        <v>3</v>
      </c>
      <c r="C23" s="3">
        <v>31</v>
      </c>
      <c r="D23" s="3" t="s">
        <v>8</v>
      </c>
      <c r="E23" s="3" t="s">
        <v>17</v>
      </c>
      <c r="F23" s="3">
        <v>100</v>
      </c>
      <c r="G23" s="3"/>
      <c r="H23" s="4">
        <v>45221</v>
      </c>
      <c r="I23" s="3" t="str">
        <f>IF(ISBLANK(Customer_Data[[#This Row],[Feedback]]), IF(Customer_Data[[#This Row],[Satisfaction Score]]&gt;=4, "Positive Feedback", "Neutral/Negative Feedback"), Customer_Data[[#This Row],[Feedback]])</f>
        <v>Neutral/Negative Feedback</v>
      </c>
      <c r="J23" s="3" t="str">
        <f>IF(ISNUMBER(SEARCH("great",LOWER(Customer_Data[[#This Row],[Feedback]]))),"Positive",IF(ISNUMBER(SEARCH("poor",LOWER(Customer_Data[[#This Row],[Feedback]]))),"Negative","Neutral"))</f>
        <v>Neutral</v>
      </c>
    </row>
    <row r="24" spans="1:10" x14ac:dyDescent="0.3">
      <c r="A24" s="3">
        <v>24</v>
      </c>
      <c r="B24" s="3">
        <v>4</v>
      </c>
      <c r="C24" s="3">
        <v>28</v>
      </c>
      <c r="D24" s="3" t="s">
        <v>11</v>
      </c>
      <c r="E24" s="3" t="s">
        <v>19</v>
      </c>
      <c r="F24" s="3">
        <v>95</v>
      </c>
      <c r="G24" s="3" t="s">
        <v>35</v>
      </c>
      <c r="H24" s="4">
        <v>45222</v>
      </c>
      <c r="I24" s="3" t="str">
        <f>IF(ISBLANK(Customer_Data[[#This Row],[Feedback]]), IF(Customer_Data[[#This Row],[Satisfaction Score]]&gt;=4, "Positive Feedback", "Neutral/Negative Feedback"), Customer_Data[[#This Row],[Feedback]])</f>
        <v>Good, but could improve.</v>
      </c>
      <c r="J24" s="3" t="str">
        <f>IF(ISNUMBER(SEARCH("great",LOWER(Customer_Data[[#This Row],[Feedback]]))),"Positive",IF(ISNUMBER(SEARCH("poor",LOWER(Customer_Data[[#This Row],[Feedback]]))),"Negative","Neutral"))</f>
        <v>Neutral</v>
      </c>
    </row>
    <row r="25" spans="1:10" x14ac:dyDescent="0.3">
      <c r="A25" s="3">
        <v>25</v>
      </c>
      <c r="B25" s="3">
        <v>5</v>
      </c>
      <c r="C25" s="3">
        <v>22</v>
      </c>
      <c r="D25" s="3" t="s">
        <v>8</v>
      </c>
      <c r="E25" s="3" t="s">
        <v>9</v>
      </c>
      <c r="F25" s="3">
        <v>130</v>
      </c>
      <c r="G25" s="3" t="s">
        <v>36</v>
      </c>
      <c r="H25" s="4">
        <v>45223</v>
      </c>
      <c r="I25" s="3" t="str">
        <f>IF(ISBLANK(Customer_Data[[#This Row],[Feedback]]), IF(Customer_Data[[#This Row],[Satisfaction Score]]&gt;=4, "Positive Feedback", "Neutral/Negative Feedback"), Customer_Data[[#This Row],[Feedback]])</f>
        <v>Absolutely love it!</v>
      </c>
      <c r="J25" s="3" t="str">
        <f>IF(ISNUMBER(SEARCH("great",LOWER(Customer_Data[[#This Row],[Feedback]]))),"Positive",IF(ISNUMBER(SEARCH("poor",LOWER(Customer_Data[[#This Row],[Feedback]]))),"Negative","Neutral"))</f>
        <v>Neutral</v>
      </c>
    </row>
    <row r="26" spans="1:10" x14ac:dyDescent="0.3">
      <c r="A26" s="3"/>
      <c r="B26" s="3"/>
      <c r="C26" s="3"/>
      <c r="D26" s="3"/>
      <c r="E26" s="3"/>
      <c r="F26" s="3"/>
      <c r="G26" s="3"/>
      <c r="H26" s="3"/>
      <c r="I26" s="3"/>
    </row>
  </sheetData>
  <conditionalFormatting sqref="A1:H25">
    <cfRule type="containsBlanks" dxfId="0" priority="1">
      <formula>LEN(TRIM(A1))=0</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C43A4-52D4-4424-87C4-C50183B437F1}">
  <dimension ref="A1:BZ55"/>
  <sheetViews>
    <sheetView tabSelected="1" zoomScale="90" zoomScaleNormal="90" workbookViewId="0">
      <selection activeCell="X1" sqref="X1"/>
    </sheetView>
  </sheetViews>
  <sheetFormatPr defaultRowHeight="14.4" x14ac:dyDescent="0.3"/>
  <sheetData>
    <row r="1" spans="1:78" x14ac:dyDescent="0.3">
      <c r="A1" s="7"/>
      <c r="B1" s="7"/>
      <c r="C1" s="7"/>
      <c r="D1" s="7"/>
      <c r="E1" s="7"/>
      <c r="F1" s="7"/>
      <c r="G1" s="7"/>
      <c r="H1" s="7"/>
      <c r="I1" s="7"/>
      <c r="J1" s="7"/>
      <c r="K1" s="7"/>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c r="BX1" s="7"/>
      <c r="BY1" s="7"/>
      <c r="BZ1" s="7"/>
    </row>
    <row r="2" spans="1:78" x14ac:dyDescent="0.3">
      <c r="A2" s="7"/>
      <c r="B2" s="7"/>
      <c r="C2" s="7"/>
      <c r="D2" s="7"/>
      <c r="E2" s="18" t="s">
        <v>50</v>
      </c>
      <c r="F2" s="19"/>
      <c r="G2" s="19"/>
      <c r="H2" s="19"/>
      <c r="I2" s="19"/>
      <c r="J2" s="19"/>
      <c r="K2" s="19"/>
      <c r="L2" s="19"/>
      <c r="M2" s="19"/>
      <c r="N2" s="19"/>
      <c r="O2" s="19"/>
      <c r="P2" s="19"/>
      <c r="Q2" s="19"/>
      <c r="R2" s="19"/>
      <c r="S2" s="20"/>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row>
    <row r="3" spans="1:78" x14ac:dyDescent="0.3">
      <c r="A3" s="7"/>
      <c r="B3" s="7"/>
      <c r="C3" s="7"/>
      <c r="D3" s="7"/>
      <c r="E3" s="21"/>
      <c r="F3" s="22"/>
      <c r="G3" s="22"/>
      <c r="H3" s="22"/>
      <c r="I3" s="22"/>
      <c r="J3" s="22"/>
      <c r="K3" s="22"/>
      <c r="L3" s="22"/>
      <c r="M3" s="22"/>
      <c r="N3" s="22"/>
      <c r="O3" s="22"/>
      <c r="P3" s="22"/>
      <c r="Q3" s="22"/>
      <c r="R3" s="22"/>
      <c r="S3" s="23"/>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row>
    <row r="4" spans="1:78" x14ac:dyDescent="0.3">
      <c r="A4" s="7"/>
      <c r="B4" s="7"/>
      <c r="C4" s="7"/>
      <c r="D4" s="7"/>
      <c r="E4" s="24"/>
      <c r="F4" s="25"/>
      <c r="G4" s="25"/>
      <c r="H4" s="25"/>
      <c r="I4" s="25"/>
      <c r="J4" s="25"/>
      <c r="K4" s="25"/>
      <c r="L4" s="25"/>
      <c r="M4" s="25"/>
      <c r="N4" s="25"/>
      <c r="O4" s="25"/>
      <c r="P4" s="25"/>
      <c r="Q4" s="25"/>
      <c r="R4" s="25"/>
      <c r="S4" s="26"/>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row>
    <row r="5" spans="1:78" x14ac:dyDescent="0.3">
      <c r="A5" s="7"/>
      <c r="B5" s="7"/>
      <c r="C5" s="7"/>
      <c r="D5" s="7"/>
      <c r="E5" s="7"/>
      <c r="F5" s="7"/>
      <c r="G5" s="7"/>
      <c r="H5" s="7"/>
      <c r="I5" s="7"/>
      <c r="J5" s="7"/>
      <c r="K5" s="7"/>
      <c r="L5" s="7"/>
      <c r="M5" s="7"/>
      <c r="N5" s="7"/>
      <c r="O5" s="7"/>
      <c r="P5" s="7"/>
      <c r="Q5" s="7"/>
      <c r="R5" s="7"/>
      <c r="S5" s="7"/>
      <c r="T5" s="7"/>
      <c r="U5" s="7"/>
      <c r="V5" s="7"/>
      <c r="W5" s="7"/>
      <c r="X5" s="7"/>
      <c r="Y5" s="7"/>
      <c r="Z5" s="7"/>
      <c r="AA5" s="7"/>
      <c r="AB5" s="7"/>
      <c r="AC5" s="7"/>
      <c r="AD5" s="7"/>
      <c r="AE5" s="7"/>
      <c r="AF5" s="7"/>
      <c r="AG5" s="7"/>
      <c r="AH5" s="7"/>
      <c r="AI5" s="7"/>
      <c r="AJ5" s="7"/>
      <c r="AK5" s="7"/>
      <c r="AL5" s="7"/>
      <c r="AM5" s="7"/>
      <c r="AN5" s="7"/>
      <c r="AO5" s="7"/>
      <c r="AP5" s="7"/>
      <c r="AQ5" s="7"/>
      <c r="AR5" s="7"/>
      <c r="AS5" s="7"/>
      <c r="AT5" s="7"/>
      <c r="AU5" s="7"/>
      <c r="AV5" s="7"/>
      <c r="AW5" s="7"/>
      <c r="AX5" s="7"/>
      <c r="AY5" s="7"/>
      <c r="AZ5" s="7"/>
      <c r="BA5" s="7"/>
      <c r="BB5" s="7"/>
      <c r="BC5" s="7"/>
      <c r="BD5" s="7"/>
      <c r="BE5" s="7"/>
      <c r="BF5" s="7"/>
      <c r="BG5" s="7"/>
      <c r="BH5" s="7"/>
      <c r="BI5" s="7"/>
      <c r="BJ5" s="7"/>
      <c r="BK5" s="7"/>
      <c r="BL5" s="7"/>
      <c r="BM5" s="7"/>
      <c r="BN5" s="7"/>
      <c r="BO5" s="7"/>
      <c r="BP5" s="7"/>
      <c r="BQ5" s="7"/>
      <c r="BR5" s="7"/>
      <c r="BS5" s="7"/>
      <c r="BT5" s="7"/>
      <c r="BU5" s="7"/>
      <c r="BV5" s="7"/>
      <c r="BW5" s="7"/>
      <c r="BX5" s="7"/>
      <c r="BY5" s="7"/>
      <c r="BZ5" s="7"/>
    </row>
    <row r="6" spans="1:78" x14ac:dyDescent="0.3">
      <c r="A6" s="7"/>
      <c r="B6" s="7"/>
      <c r="C6" s="7"/>
      <c r="D6" s="7"/>
      <c r="E6" s="7"/>
      <c r="F6" s="7"/>
      <c r="G6" s="7"/>
      <c r="H6" s="7"/>
      <c r="I6" s="7"/>
      <c r="J6" s="7"/>
      <c r="K6" s="7"/>
      <c r="L6" s="7"/>
      <c r="M6" s="7"/>
      <c r="N6" s="7"/>
      <c r="O6" s="7"/>
      <c r="P6" s="7"/>
      <c r="Q6" s="7"/>
      <c r="R6" s="7"/>
      <c r="S6" s="7"/>
      <c r="T6" s="7"/>
      <c r="U6" s="7"/>
      <c r="V6" s="7"/>
      <c r="W6" s="7"/>
      <c r="X6" s="7"/>
      <c r="Y6" s="7"/>
      <c r="Z6" s="7"/>
      <c r="AA6" s="7"/>
      <c r="AB6" s="7"/>
      <c r="AC6" s="7"/>
      <c r="AD6" s="7"/>
      <c r="AE6" s="7"/>
      <c r="AF6" s="7"/>
      <c r="AG6" s="7"/>
      <c r="AH6" s="7"/>
      <c r="AI6" s="7"/>
      <c r="AJ6" s="7"/>
      <c r="AK6" s="7"/>
      <c r="AL6" s="7"/>
      <c r="AM6" s="7"/>
      <c r="AN6" s="7"/>
      <c r="AO6" s="7"/>
      <c r="AP6" s="7"/>
      <c r="AQ6" s="7"/>
      <c r="AR6" s="7"/>
      <c r="AS6" s="7"/>
      <c r="AT6" s="7"/>
      <c r="AU6" s="7"/>
      <c r="AV6" s="7"/>
      <c r="AW6" s="7"/>
      <c r="AX6" s="7"/>
      <c r="AY6" s="7"/>
      <c r="AZ6" s="7"/>
      <c r="BA6" s="7"/>
      <c r="BB6" s="7"/>
      <c r="BC6" s="7"/>
      <c r="BD6" s="7"/>
      <c r="BE6" s="7"/>
      <c r="BF6" s="7"/>
      <c r="BG6" s="7"/>
      <c r="BH6" s="7"/>
      <c r="BI6" s="7"/>
      <c r="BJ6" s="7"/>
      <c r="BK6" s="7"/>
      <c r="BL6" s="7"/>
      <c r="BM6" s="7"/>
      <c r="BN6" s="7"/>
      <c r="BO6" s="7"/>
      <c r="BP6" s="7"/>
      <c r="BQ6" s="7"/>
      <c r="BR6" s="7"/>
      <c r="BS6" s="7"/>
      <c r="BT6" s="7"/>
      <c r="BU6" s="7"/>
      <c r="BV6" s="7"/>
      <c r="BW6" s="7"/>
      <c r="BX6" s="7"/>
      <c r="BY6" s="7"/>
      <c r="BZ6" s="7"/>
    </row>
    <row r="7" spans="1:78" x14ac:dyDescent="0.3">
      <c r="A7" s="7"/>
      <c r="B7" s="7"/>
      <c r="C7" s="7"/>
      <c r="D7" s="7"/>
      <c r="E7" s="7"/>
      <c r="F7" s="7"/>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7"/>
      <c r="BJ7" s="7"/>
      <c r="BK7" s="7"/>
      <c r="BL7" s="7"/>
      <c r="BM7" s="7"/>
      <c r="BN7" s="7"/>
      <c r="BO7" s="7"/>
      <c r="BP7" s="7"/>
      <c r="BQ7" s="7"/>
      <c r="BR7" s="7"/>
      <c r="BS7" s="7"/>
      <c r="BT7" s="7"/>
      <c r="BU7" s="7"/>
      <c r="BV7" s="7"/>
      <c r="BW7" s="7"/>
      <c r="BX7" s="7"/>
      <c r="BY7" s="7"/>
      <c r="BZ7" s="7"/>
    </row>
    <row r="8" spans="1:78" x14ac:dyDescent="0.3">
      <c r="A8" s="7"/>
      <c r="B8" s="7"/>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7"/>
      <c r="AZ8" s="7"/>
      <c r="BA8" s="7"/>
      <c r="BB8" s="7"/>
      <c r="BC8" s="7"/>
      <c r="BD8" s="7"/>
      <c r="BE8" s="7"/>
      <c r="BF8" s="7"/>
      <c r="BG8" s="7"/>
      <c r="BH8" s="7"/>
      <c r="BI8" s="7"/>
      <c r="BJ8" s="7"/>
      <c r="BK8" s="7"/>
      <c r="BL8" s="7"/>
      <c r="BM8" s="7"/>
      <c r="BN8" s="7"/>
      <c r="BO8" s="7"/>
      <c r="BP8" s="7"/>
      <c r="BQ8" s="7"/>
      <c r="BR8" s="7"/>
      <c r="BS8" s="7"/>
      <c r="BT8" s="7"/>
      <c r="BU8" s="7"/>
      <c r="BV8" s="7"/>
      <c r="BW8" s="7"/>
      <c r="BX8" s="7"/>
      <c r="BY8" s="7"/>
      <c r="BZ8" s="7"/>
    </row>
    <row r="9" spans="1:78" x14ac:dyDescent="0.3">
      <c r="A9" s="7"/>
      <c r="B9" s="7"/>
      <c r="C9" s="7"/>
      <c r="D9" s="7"/>
      <c r="E9" s="7"/>
      <c r="F9" s="7"/>
      <c r="G9" s="7"/>
      <c r="H9" s="7"/>
      <c r="I9" s="7"/>
      <c r="J9" s="7"/>
      <c r="K9" s="7"/>
      <c r="L9" s="7"/>
      <c r="M9" s="7"/>
      <c r="N9" s="7"/>
      <c r="O9" s="7"/>
      <c r="P9" s="7"/>
      <c r="Q9" s="7"/>
      <c r="R9" s="7"/>
      <c r="S9" s="7"/>
      <c r="T9" s="7"/>
      <c r="U9" s="7"/>
      <c r="V9" s="7"/>
      <c r="W9" s="7"/>
      <c r="X9" s="7"/>
      <c r="Y9" s="7"/>
      <c r="Z9" s="7"/>
      <c r="AA9" s="7"/>
      <c r="AB9" s="7"/>
      <c r="AC9" s="7"/>
      <c r="AD9" s="7"/>
      <c r="AE9" s="7"/>
      <c r="AF9" s="7"/>
      <c r="AG9" s="7"/>
      <c r="AH9" s="7"/>
      <c r="AI9" s="7"/>
      <c r="AJ9" s="7"/>
      <c r="AK9" s="7"/>
      <c r="AL9" s="7"/>
      <c r="AM9" s="7"/>
      <c r="AN9" s="7"/>
      <c r="AO9" s="7"/>
      <c r="AP9" s="7"/>
      <c r="AQ9" s="7"/>
      <c r="AR9" s="7"/>
      <c r="AS9" s="7"/>
      <c r="AT9" s="7"/>
      <c r="AU9" s="7"/>
      <c r="AV9" s="7"/>
      <c r="AW9" s="7"/>
      <c r="AX9" s="7"/>
      <c r="AY9" s="7"/>
      <c r="AZ9" s="7"/>
      <c r="BA9" s="7"/>
      <c r="BB9" s="7"/>
      <c r="BC9" s="7"/>
      <c r="BD9" s="7"/>
      <c r="BE9" s="7"/>
      <c r="BF9" s="7"/>
      <c r="BG9" s="7"/>
      <c r="BH9" s="7"/>
      <c r="BI9" s="7"/>
      <c r="BJ9" s="7"/>
      <c r="BK9" s="7"/>
      <c r="BL9" s="7"/>
      <c r="BM9" s="7"/>
      <c r="BN9" s="7"/>
      <c r="BO9" s="7"/>
      <c r="BP9" s="7"/>
      <c r="BQ9" s="7"/>
      <c r="BR9" s="7"/>
      <c r="BS9" s="7"/>
      <c r="BT9" s="7"/>
      <c r="BU9" s="7"/>
      <c r="BV9" s="7"/>
      <c r="BW9" s="7"/>
      <c r="BX9" s="7"/>
      <c r="BY9" s="7"/>
      <c r="BZ9" s="7"/>
    </row>
    <row r="10" spans="1:78" x14ac:dyDescent="0.3">
      <c r="A10" s="7"/>
      <c r="B10" s="7"/>
      <c r="C10" s="7"/>
      <c r="D10" s="7"/>
      <c r="E10" s="7"/>
      <c r="F10" s="7"/>
      <c r="G10" s="7"/>
      <c r="H10" s="7"/>
      <c r="I10" s="7"/>
      <c r="J10" s="7"/>
      <c r="K10" s="7"/>
      <c r="L10" s="7"/>
      <c r="M10" s="7"/>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c r="AZ10" s="7"/>
      <c r="BA10" s="7"/>
      <c r="BB10" s="7"/>
      <c r="BC10" s="7"/>
      <c r="BD10" s="7"/>
      <c r="BE10" s="7"/>
      <c r="BF10" s="7"/>
      <c r="BG10" s="7"/>
      <c r="BH10" s="7"/>
      <c r="BI10" s="7"/>
      <c r="BJ10" s="7"/>
      <c r="BK10" s="7"/>
      <c r="BL10" s="7"/>
      <c r="BM10" s="7"/>
      <c r="BN10" s="7"/>
      <c r="BO10" s="7"/>
      <c r="BP10" s="7"/>
      <c r="BQ10" s="7"/>
      <c r="BR10" s="7"/>
      <c r="BS10" s="7"/>
      <c r="BT10" s="7"/>
      <c r="BU10" s="7"/>
      <c r="BV10" s="7"/>
      <c r="BW10" s="7"/>
      <c r="BX10" s="7"/>
      <c r="BY10" s="7"/>
      <c r="BZ10" s="7"/>
    </row>
    <row r="11" spans="1:78" x14ac:dyDescent="0.3">
      <c r="A11" s="7"/>
      <c r="B11" s="7"/>
      <c r="C11" s="7"/>
      <c r="D11" s="7"/>
      <c r="E11" s="7"/>
      <c r="F11" s="7"/>
      <c r="G11" s="7"/>
      <c r="H11" s="7"/>
      <c r="I11" s="7"/>
      <c r="J11" s="7"/>
      <c r="K11" s="7"/>
      <c r="L11" s="7"/>
      <c r="M11" s="7"/>
      <c r="N11" s="7"/>
      <c r="O11" s="7"/>
      <c r="P11" s="7"/>
      <c r="Q11" s="7"/>
      <c r="R11" s="7"/>
      <c r="S11" s="7"/>
      <c r="T11" s="7"/>
      <c r="U11" s="7"/>
      <c r="V11" s="7"/>
      <c r="W11" s="7"/>
      <c r="X11" s="7"/>
      <c r="Y11" s="7"/>
      <c r="Z11" s="7"/>
      <c r="AA11" s="7"/>
      <c r="AB11" s="7"/>
      <c r="AC11" s="7"/>
      <c r="AD11" s="7"/>
      <c r="AE11" s="7"/>
      <c r="AF11" s="7"/>
      <c r="AG11" s="7"/>
      <c r="AH11" s="7"/>
      <c r="AI11" s="7"/>
      <c r="AJ11" s="7"/>
      <c r="AK11" s="7"/>
      <c r="AL11" s="7"/>
      <c r="AM11" s="7"/>
      <c r="AN11" s="7"/>
      <c r="AO11" s="7"/>
      <c r="AP11" s="7"/>
      <c r="AQ11" s="7"/>
      <c r="AR11" s="7"/>
      <c r="AS11" s="7"/>
      <c r="AT11" s="7"/>
      <c r="AU11" s="7"/>
      <c r="AV11" s="7"/>
      <c r="AW11" s="7"/>
      <c r="AX11" s="7"/>
      <c r="AY11" s="7"/>
      <c r="AZ11" s="7"/>
      <c r="BA11" s="7"/>
      <c r="BB11" s="7"/>
      <c r="BC11" s="7"/>
      <c r="BD11" s="7"/>
      <c r="BE11" s="7"/>
      <c r="BF11" s="7"/>
      <c r="BG11" s="7"/>
      <c r="BH11" s="7"/>
      <c r="BI11" s="7"/>
      <c r="BJ11" s="7"/>
      <c r="BK11" s="7"/>
      <c r="BL11" s="7"/>
      <c r="BM11" s="7"/>
      <c r="BN11" s="7"/>
      <c r="BO11" s="7"/>
      <c r="BP11" s="7"/>
      <c r="BQ11" s="7"/>
      <c r="BR11" s="7"/>
      <c r="BS11" s="7"/>
      <c r="BT11" s="7"/>
      <c r="BU11" s="7"/>
      <c r="BV11" s="7"/>
      <c r="BW11" s="7"/>
      <c r="BX11" s="7"/>
      <c r="BY11" s="7"/>
      <c r="BZ11" s="7"/>
    </row>
    <row r="12" spans="1:78" x14ac:dyDescent="0.3">
      <c r="A12" s="7"/>
      <c r="B12" s="7"/>
      <c r="C12" s="7"/>
      <c r="D12" s="7"/>
      <c r="E12" s="7"/>
      <c r="F12" s="7"/>
      <c r="G12" s="7"/>
      <c r="H12" s="7"/>
      <c r="I12" s="7"/>
      <c r="J12" s="7"/>
      <c r="K12" s="7"/>
      <c r="L12" s="7"/>
      <c r="M12" s="7"/>
      <c r="N12" s="7"/>
      <c r="O12" s="7"/>
      <c r="P12" s="7"/>
      <c r="Q12" s="7"/>
      <c r="R12" s="7"/>
      <c r="S12" s="7"/>
      <c r="T12" s="27">
        <v>24</v>
      </c>
      <c r="U12" s="27"/>
      <c r="V12" s="7"/>
      <c r="W12" s="7"/>
      <c r="X12" s="7"/>
      <c r="Y12" s="7"/>
      <c r="Z12" s="7"/>
      <c r="AA12" s="7"/>
      <c r="AB12" s="7"/>
      <c r="AC12" s="7"/>
      <c r="AD12" s="7"/>
      <c r="AE12" s="7"/>
      <c r="AF12" s="7"/>
      <c r="AG12" s="7"/>
      <c r="AH12" s="7"/>
      <c r="AI12" s="7"/>
      <c r="AJ12" s="7"/>
      <c r="AK12" s="7"/>
      <c r="AL12" s="7"/>
      <c r="AM12" s="7"/>
      <c r="AN12" s="7"/>
      <c r="AO12" s="7"/>
      <c r="AP12" s="7"/>
      <c r="AQ12" s="7"/>
      <c r="AR12" s="7"/>
      <c r="AS12" s="7"/>
      <c r="AT12" s="7"/>
      <c r="AU12" s="7"/>
      <c r="AV12" s="7"/>
      <c r="AW12" s="7"/>
      <c r="AX12" s="7"/>
      <c r="AY12" s="7"/>
      <c r="AZ12" s="7"/>
      <c r="BA12" s="7"/>
      <c r="BB12" s="7"/>
      <c r="BC12" s="7"/>
      <c r="BD12" s="7"/>
      <c r="BE12" s="7"/>
      <c r="BF12" s="7"/>
      <c r="BG12" s="7"/>
      <c r="BH12" s="7"/>
      <c r="BI12" s="7"/>
      <c r="BJ12" s="7"/>
      <c r="BK12" s="7"/>
      <c r="BL12" s="7"/>
      <c r="BM12" s="7"/>
      <c r="BN12" s="7"/>
      <c r="BO12" s="7"/>
      <c r="BP12" s="7"/>
      <c r="BQ12" s="7"/>
      <c r="BR12" s="7"/>
      <c r="BS12" s="7"/>
      <c r="BT12" s="7"/>
      <c r="BU12" s="7"/>
      <c r="BV12" s="7"/>
      <c r="BW12" s="7"/>
      <c r="BX12" s="7"/>
      <c r="BY12" s="7"/>
      <c r="BZ12" s="7"/>
    </row>
    <row r="13" spans="1:78" x14ac:dyDescent="0.3">
      <c r="A13" s="7"/>
      <c r="B13" s="7"/>
      <c r="C13" s="7"/>
      <c r="D13" s="7"/>
      <c r="E13" s="7"/>
      <c r="F13" s="7"/>
      <c r="G13" s="7"/>
      <c r="H13" s="7"/>
      <c r="I13" s="7"/>
      <c r="J13" s="7"/>
      <c r="K13" s="7"/>
      <c r="L13" s="7"/>
      <c r="M13" s="7"/>
      <c r="N13" s="7"/>
      <c r="O13" s="7"/>
      <c r="P13" s="7"/>
      <c r="Q13" s="7"/>
      <c r="R13" s="7"/>
      <c r="S13" s="7"/>
      <c r="T13" s="27"/>
      <c r="U13" s="27"/>
      <c r="V13" s="7"/>
      <c r="W13" s="7"/>
      <c r="X13" s="7"/>
      <c r="Y13" s="7"/>
      <c r="Z13" s="7"/>
      <c r="AA13" s="7"/>
      <c r="AB13" s="7"/>
      <c r="AC13" s="7"/>
      <c r="AD13" s="7"/>
      <c r="AE13" s="7"/>
      <c r="AF13" s="7"/>
      <c r="AG13" s="7"/>
      <c r="AH13" s="7"/>
      <c r="AI13" s="7"/>
      <c r="AJ13" s="7"/>
      <c r="AK13" s="7"/>
      <c r="AL13" s="7"/>
      <c r="AM13" s="7"/>
      <c r="AN13" s="7"/>
      <c r="AO13" s="7"/>
      <c r="AP13" s="7"/>
      <c r="AQ13" s="7"/>
      <c r="AR13" s="7"/>
      <c r="AS13" s="7"/>
      <c r="AT13" s="7"/>
      <c r="AU13" s="7"/>
      <c r="AV13" s="7"/>
      <c r="AW13" s="7"/>
      <c r="AX13" s="7"/>
      <c r="AY13" s="7"/>
      <c r="AZ13" s="7"/>
      <c r="BA13" s="7"/>
      <c r="BB13" s="7"/>
      <c r="BC13" s="7"/>
      <c r="BD13" s="7"/>
      <c r="BE13" s="7"/>
      <c r="BF13" s="7"/>
      <c r="BG13" s="7"/>
      <c r="BH13" s="7"/>
      <c r="BI13" s="7"/>
      <c r="BJ13" s="7"/>
      <c r="BK13" s="7"/>
      <c r="BL13" s="7"/>
      <c r="BM13" s="7"/>
      <c r="BN13" s="7"/>
      <c r="BO13" s="7"/>
      <c r="BP13" s="7"/>
      <c r="BQ13" s="7"/>
      <c r="BR13" s="7"/>
      <c r="BS13" s="7"/>
      <c r="BT13" s="7"/>
      <c r="BU13" s="7"/>
      <c r="BV13" s="7"/>
      <c r="BW13" s="7"/>
      <c r="BX13" s="7"/>
      <c r="BY13" s="7"/>
      <c r="BZ13" s="7"/>
    </row>
    <row r="14" spans="1:78" x14ac:dyDescent="0.3">
      <c r="A14" s="7"/>
      <c r="B14" s="7"/>
      <c r="C14" s="7"/>
      <c r="D14" s="7"/>
      <c r="E14" s="7"/>
      <c r="F14" s="7"/>
      <c r="G14" s="7"/>
      <c r="H14" s="7"/>
      <c r="I14" s="7"/>
      <c r="J14" s="7"/>
      <c r="K14" s="7"/>
      <c r="L14" s="7"/>
      <c r="M14" s="7"/>
      <c r="N14" s="7"/>
      <c r="O14" s="7"/>
      <c r="P14" s="7"/>
      <c r="Q14" s="7"/>
      <c r="R14" s="7"/>
      <c r="S14" s="7"/>
      <c r="T14" s="7"/>
      <c r="U14" s="7"/>
      <c r="V14" s="7"/>
      <c r="W14" s="7"/>
      <c r="X14" s="7"/>
      <c r="Y14" s="7"/>
      <c r="Z14" s="7"/>
      <c r="AA14" s="7"/>
      <c r="AB14" s="7"/>
      <c r="AC14" s="7"/>
      <c r="AD14" s="7"/>
      <c r="AE14" s="7"/>
      <c r="AF14" s="7"/>
      <c r="AG14" s="7"/>
      <c r="AH14" s="7"/>
      <c r="AI14" s="7"/>
      <c r="AJ14" s="7"/>
      <c r="AK14" s="7"/>
      <c r="AL14" s="7"/>
      <c r="AM14" s="7"/>
      <c r="AN14" s="7"/>
      <c r="AO14" s="7"/>
      <c r="AP14" s="7"/>
      <c r="AQ14" s="7"/>
      <c r="AR14" s="7"/>
      <c r="AS14" s="7"/>
      <c r="AT14" s="7"/>
      <c r="AU14" s="7"/>
      <c r="AV14" s="7"/>
      <c r="AW14" s="7"/>
      <c r="AX14" s="7"/>
      <c r="AY14" s="7"/>
      <c r="AZ14" s="7"/>
      <c r="BA14" s="7"/>
      <c r="BB14" s="7"/>
      <c r="BC14" s="7"/>
      <c r="BD14" s="7"/>
      <c r="BE14" s="7"/>
      <c r="BF14" s="7"/>
      <c r="BG14" s="7"/>
      <c r="BH14" s="7"/>
      <c r="BI14" s="7"/>
      <c r="BJ14" s="7"/>
      <c r="BK14" s="7"/>
      <c r="BL14" s="7"/>
      <c r="BM14" s="7"/>
      <c r="BN14" s="7"/>
      <c r="BO14" s="7"/>
      <c r="BP14" s="7"/>
      <c r="BQ14" s="7"/>
      <c r="BR14" s="7"/>
      <c r="BS14" s="7"/>
      <c r="BT14" s="7"/>
      <c r="BU14" s="7"/>
      <c r="BV14" s="7"/>
      <c r="BW14" s="7"/>
      <c r="BX14" s="7"/>
      <c r="BY14" s="7"/>
      <c r="BZ14" s="7"/>
    </row>
    <row r="15" spans="1:78" x14ac:dyDescent="0.3">
      <c r="A15" s="7"/>
      <c r="B15" s="7"/>
      <c r="C15" s="7"/>
      <c r="D15" s="7"/>
      <c r="E15" s="7"/>
      <c r="F15" s="7"/>
      <c r="G15" s="7"/>
      <c r="H15" s="7"/>
      <c r="I15" s="7"/>
      <c r="J15" s="7"/>
      <c r="K15" s="7"/>
      <c r="L15" s="7"/>
      <c r="M15" s="7"/>
      <c r="N15" s="7"/>
      <c r="O15" s="7"/>
      <c r="P15" s="7"/>
      <c r="Q15" s="7"/>
      <c r="R15" s="7"/>
      <c r="S15" s="7"/>
      <c r="T15" s="7"/>
      <c r="U15" s="7"/>
      <c r="V15" s="7"/>
      <c r="W15" s="7"/>
      <c r="X15" s="7"/>
      <c r="Y15" s="7"/>
      <c r="Z15" s="7"/>
      <c r="AA15" s="7"/>
      <c r="AB15" s="7"/>
      <c r="AC15" s="7"/>
      <c r="AD15" s="7"/>
      <c r="AE15" s="7"/>
      <c r="AF15" s="7"/>
      <c r="AG15" s="7"/>
      <c r="AH15" s="7"/>
      <c r="AI15" s="7"/>
      <c r="AJ15" s="7"/>
      <c r="AK15" s="7"/>
      <c r="AL15" s="7"/>
      <c r="AM15" s="7"/>
      <c r="AN15" s="7"/>
      <c r="AO15" s="7"/>
      <c r="AP15" s="7"/>
      <c r="AQ15" s="7"/>
      <c r="AR15" s="7"/>
      <c r="AS15" s="7"/>
      <c r="AT15" s="7"/>
      <c r="AU15" s="7"/>
      <c r="AV15" s="7"/>
      <c r="AW15" s="7"/>
      <c r="AX15" s="7"/>
      <c r="AY15" s="7"/>
      <c r="AZ15" s="7"/>
      <c r="BA15" s="7"/>
      <c r="BB15" s="7"/>
      <c r="BC15" s="7"/>
      <c r="BD15" s="7"/>
      <c r="BE15" s="7"/>
      <c r="BF15" s="7"/>
      <c r="BG15" s="7"/>
      <c r="BH15" s="7"/>
      <c r="BI15" s="7"/>
      <c r="BJ15" s="7"/>
      <c r="BK15" s="7"/>
      <c r="BL15" s="7"/>
      <c r="BM15" s="7"/>
      <c r="BN15" s="7"/>
      <c r="BO15" s="7"/>
      <c r="BP15" s="7"/>
      <c r="BQ15" s="7"/>
      <c r="BR15" s="7"/>
      <c r="BS15" s="7"/>
      <c r="BT15" s="7"/>
      <c r="BU15" s="7"/>
      <c r="BV15" s="7"/>
      <c r="BW15" s="7"/>
      <c r="BX15" s="7"/>
      <c r="BY15" s="7"/>
      <c r="BZ15" s="7"/>
    </row>
    <row r="16" spans="1:78" x14ac:dyDescent="0.3">
      <c r="A16" s="7"/>
      <c r="B16" s="7"/>
      <c r="C16" s="7"/>
      <c r="D16" s="7"/>
      <c r="E16" s="7"/>
      <c r="F16" s="7"/>
      <c r="G16" s="7"/>
      <c r="H16" s="7"/>
      <c r="I16" s="7"/>
      <c r="J16" s="7"/>
      <c r="K16" s="7"/>
      <c r="L16" s="7"/>
      <c r="M16" s="7"/>
      <c r="N16" s="7"/>
      <c r="O16" s="7"/>
      <c r="P16" s="7"/>
      <c r="Q16" s="7"/>
      <c r="R16" s="7"/>
      <c r="S16" s="7"/>
      <c r="T16" s="7"/>
      <c r="U16" s="7"/>
      <c r="V16" s="7"/>
      <c r="W16" s="7"/>
      <c r="X16" s="7"/>
      <c r="Y16" s="7"/>
      <c r="Z16" s="7"/>
      <c r="AA16" s="7"/>
      <c r="AB16" s="7"/>
      <c r="AC16" s="7"/>
      <c r="AD16" s="7"/>
      <c r="AE16" s="7"/>
      <c r="AF16" s="7"/>
      <c r="AG16" s="7"/>
      <c r="AH16" s="7"/>
      <c r="AI16" s="7"/>
      <c r="AJ16" s="7"/>
      <c r="AK16" s="7"/>
      <c r="AL16" s="7"/>
      <c r="AM16" s="7"/>
      <c r="AN16" s="7"/>
      <c r="AO16" s="7"/>
      <c r="AP16" s="7"/>
      <c r="AQ16" s="7"/>
      <c r="AR16" s="7"/>
      <c r="AS16" s="7"/>
      <c r="AT16" s="7"/>
      <c r="AU16" s="7"/>
      <c r="AV16" s="7"/>
      <c r="AW16" s="7"/>
      <c r="AX16" s="7"/>
      <c r="AY16" s="7"/>
      <c r="AZ16" s="7"/>
      <c r="BA16" s="7"/>
      <c r="BB16" s="7"/>
      <c r="BC16" s="7"/>
      <c r="BD16" s="7"/>
      <c r="BE16" s="7"/>
      <c r="BF16" s="7"/>
      <c r="BG16" s="7"/>
      <c r="BH16" s="7"/>
      <c r="BI16" s="7"/>
      <c r="BJ16" s="7"/>
      <c r="BK16" s="7"/>
      <c r="BL16" s="7"/>
      <c r="BM16" s="7"/>
      <c r="BN16" s="7"/>
      <c r="BO16" s="7"/>
      <c r="BP16" s="7"/>
      <c r="BQ16" s="7"/>
      <c r="BR16" s="7"/>
      <c r="BS16" s="7"/>
      <c r="BT16" s="7"/>
      <c r="BU16" s="7"/>
      <c r="BV16" s="7"/>
      <c r="BW16" s="7"/>
      <c r="BX16" s="7"/>
      <c r="BY16" s="7"/>
      <c r="BZ16" s="7"/>
    </row>
    <row r="17" spans="1:78" x14ac:dyDescent="0.3">
      <c r="A17" s="7"/>
      <c r="B17" s="7"/>
      <c r="C17" s="7"/>
      <c r="D17" s="7"/>
      <c r="E17" s="7"/>
      <c r="F17" s="7"/>
      <c r="G17" s="7"/>
      <c r="H17" s="7"/>
      <c r="I17" s="7"/>
      <c r="J17" s="7"/>
      <c r="K17" s="7"/>
      <c r="L17" s="7"/>
      <c r="M17" s="7"/>
      <c r="N17" s="7"/>
      <c r="O17" s="7"/>
      <c r="P17" s="7"/>
      <c r="Q17" s="7"/>
      <c r="R17" s="7"/>
      <c r="S17" s="7"/>
      <c r="T17" s="7"/>
      <c r="U17" s="7"/>
      <c r="V17" s="7"/>
      <c r="W17" s="7"/>
      <c r="X17" s="7"/>
      <c r="Y17" s="7"/>
      <c r="Z17" s="7"/>
      <c r="AA17" s="7"/>
      <c r="AB17" s="7"/>
      <c r="AC17" s="7"/>
      <c r="AD17" s="7"/>
      <c r="AE17" s="7"/>
      <c r="AF17" s="7"/>
      <c r="AG17" s="7"/>
      <c r="AH17" s="7"/>
      <c r="AI17" s="7"/>
      <c r="AJ17" s="7"/>
      <c r="AK17" s="7"/>
      <c r="AL17" s="7"/>
      <c r="AM17" s="7"/>
      <c r="AN17" s="7"/>
      <c r="AO17" s="7"/>
      <c r="AP17" s="7"/>
      <c r="AQ17" s="7"/>
      <c r="AR17" s="7"/>
      <c r="AS17" s="7"/>
      <c r="AT17" s="7"/>
      <c r="AU17" s="7"/>
      <c r="AV17" s="7"/>
      <c r="AW17" s="7"/>
      <c r="AX17" s="7"/>
      <c r="AY17" s="7"/>
      <c r="AZ17" s="7"/>
      <c r="BA17" s="7"/>
      <c r="BB17" s="7"/>
      <c r="BC17" s="7"/>
      <c r="BD17" s="7"/>
      <c r="BE17" s="7"/>
      <c r="BF17" s="7"/>
      <c r="BG17" s="7"/>
      <c r="BH17" s="7"/>
      <c r="BI17" s="7"/>
      <c r="BJ17" s="7"/>
      <c r="BK17" s="7"/>
      <c r="BL17" s="7"/>
      <c r="BM17" s="7"/>
      <c r="BN17" s="7"/>
      <c r="BO17" s="7"/>
      <c r="BP17" s="7"/>
      <c r="BQ17" s="7"/>
      <c r="BR17" s="7"/>
      <c r="BS17" s="7"/>
      <c r="BT17" s="7"/>
      <c r="BU17" s="7"/>
      <c r="BV17" s="7"/>
      <c r="BW17" s="7"/>
      <c r="BX17" s="7"/>
      <c r="BY17" s="7"/>
      <c r="BZ17" s="7"/>
    </row>
    <row r="18" spans="1:78" x14ac:dyDescent="0.3">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c r="AL18" s="7"/>
      <c r="AM18" s="7"/>
      <c r="AN18" s="7"/>
      <c r="AO18" s="7"/>
      <c r="AP18" s="7"/>
      <c r="AQ18" s="7"/>
      <c r="AR18" s="7"/>
      <c r="AS18" s="7"/>
      <c r="AT18" s="7"/>
      <c r="AU18" s="7"/>
      <c r="AV18" s="7"/>
      <c r="AW18" s="7"/>
      <c r="AX18" s="7"/>
      <c r="AY18" s="7"/>
      <c r="AZ18" s="7"/>
      <c r="BA18" s="7"/>
      <c r="BB18" s="7"/>
      <c r="BC18" s="7"/>
      <c r="BD18" s="7"/>
      <c r="BE18" s="7"/>
      <c r="BF18" s="7"/>
      <c r="BG18" s="7"/>
      <c r="BH18" s="7"/>
      <c r="BI18" s="7"/>
      <c r="BJ18" s="7"/>
      <c r="BK18" s="7"/>
      <c r="BL18" s="7"/>
      <c r="BM18" s="7"/>
      <c r="BN18" s="7"/>
      <c r="BO18" s="7"/>
      <c r="BP18" s="7"/>
      <c r="BQ18" s="7"/>
      <c r="BR18" s="7"/>
      <c r="BS18" s="7"/>
      <c r="BT18" s="7"/>
      <c r="BU18" s="7"/>
      <c r="BV18" s="7"/>
      <c r="BW18" s="7"/>
      <c r="BX18" s="7"/>
      <c r="BY18" s="7"/>
      <c r="BZ18" s="7"/>
    </row>
    <row r="19" spans="1:78" x14ac:dyDescent="0.3">
      <c r="A19" s="7"/>
      <c r="B19" s="7"/>
      <c r="C19" s="7"/>
      <c r="D19" s="7"/>
      <c r="E19" s="7"/>
      <c r="F19" s="7"/>
      <c r="G19" s="7"/>
      <c r="H19" s="7"/>
      <c r="I19" s="7"/>
      <c r="J19" s="7"/>
      <c r="K19" s="7"/>
      <c r="L19" s="7"/>
      <c r="M19" s="7"/>
      <c r="N19" s="7"/>
      <c r="O19" s="7"/>
      <c r="P19" s="7"/>
      <c r="Q19" s="7"/>
      <c r="R19" s="7"/>
      <c r="S19" s="7"/>
      <c r="T19" s="7"/>
      <c r="U19" s="7"/>
      <c r="V19" s="7"/>
      <c r="W19" s="7"/>
      <c r="X19" s="7"/>
      <c r="Y19" s="7"/>
      <c r="Z19" s="7"/>
      <c r="AA19" s="7"/>
      <c r="AB19" s="7"/>
      <c r="AC19" s="7"/>
      <c r="AD19" s="7"/>
      <c r="AE19" s="7"/>
      <c r="AF19" s="7"/>
      <c r="AG19" s="7"/>
      <c r="AH19" s="7"/>
      <c r="AI19" s="7"/>
      <c r="AJ19" s="7"/>
      <c r="AK19" s="7"/>
      <c r="AL19" s="7"/>
      <c r="AM19" s="7"/>
      <c r="AN19" s="7"/>
      <c r="AO19" s="7"/>
      <c r="AP19" s="7"/>
      <c r="AQ19" s="7"/>
      <c r="AR19" s="7"/>
      <c r="AS19" s="7"/>
      <c r="AT19" s="7"/>
      <c r="AU19" s="7"/>
      <c r="AV19" s="7"/>
      <c r="AW19" s="7"/>
      <c r="AX19" s="7"/>
      <c r="AY19" s="7"/>
      <c r="AZ19" s="7"/>
      <c r="BA19" s="7"/>
      <c r="BB19" s="7"/>
      <c r="BC19" s="7"/>
      <c r="BD19" s="7"/>
      <c r="BE19" s="7"/>
      <c r="BF19" s="7"/>
      <c r="BG19" s="7"/>
      <c r="BH19" s="7"/>
      <c r="BI19" s="7"/>
      <c r="BJ19" s="7"/>
      <c r="BK19" s="7"/>
      <c r="BL19" s="7"/>
      <c r="BM19" s="7"/>
      <c r="BN19" s="7"/>
      <c r="BO19" s="7"/>
      <c r="BP19" s="7"/>
      <c r="BQ19" s="7"/>
      <c r="BR19" s="7"/>
      <c r="BS19" s="7"/>
      <c r="BT19" s="7"/>
      <c r="BU19" s="7"/>
      <c r="BV19" s="7"/>
      <c r="BW19" s="7"/>
      <c r="BX19" s="7"/>
      <c r="BY19" s="7"/>
      <c r="BZ19" s="7"/>
    </row>
    <row r="20" spans="1:78" x14ac:dyDescent="0.3">
      <c r="A20" s="7"/>
      <c r="B20" s="7"/>
      <c r="C20" s="7"/>
      <c r="D20" s="7"/>
      <c r="E20" s="7"/>
      <c r="F20" s="7"/>
      <c r="G20" s="7"/>
      <c r="H20" s="7"/>
      <c r="I20" s="7"/>
      <c r="J20" s="7"/>
      <c r="K20" s="7"/>
      <c r="L20" s="7"/>
      <c r="M20" s="7"/>
      <c r="N20" s="7"/>
      <c r="O20" s="7"/>
      <c r="P20" s="7"/>
      <c r="Q20" s="7"/>
      <c r="R20" s="7"/>
      <c r="S20" s="7"/>
      <c r="T20" s="7"/>
      <c r="U20" s="7"/>
      <c r="V20" s="7"/>
      <c r="W20" s="7"/>
      <c r="X20" s="7"/>
      <c r="Y20" s="7"/>
      <c r="Z20" s="7"/>
      <c r="AA20" s="7"/>
      <c r="AB20" s="7"/>
      <c r="AC20" s="7"/>
      <c r="AD20" s="7"/>
      <c r="AE20" s="7"/>
      <c r="AF20" s="7"/>
      <c r="AG20" s="7"/>
      <c r="AH20" s="7"/>
      <c r="AI20" s="7"/>
      <c r="AJ20" s="7"/>
      <c r="AK20" s="7"/>
      <c r="AL20" s="7"/>
      <c r="AM20" s="7"/>
      <c r="AN20" s="7"/>
      <c r="AO20" s="7"/>
      <c r="AP20" s="7"/>
      <c r="AQ20" s="7"/>
      <c r="AR20" s="7"/>
      <c r="AS20" s="7"/>
      <c r="AT20" s="7"/>
      <c r="AU20" s="7"/>
      <c r="AV20" s="7"/>
      <c r="AW20" s="7"/>
      <c r="AX20" s="7"/>
      <c r="AY20" s="7"/>
      <c r="AZ20" s="7"/>
      <c r="BA20" s="7"/>
      <c r="BB20" s="7"/>
      <c r="BC20" s="7"/>
      <c r="BD20" s="7"/>
      <c r="BE20" s="7"/>
      <c r="BF20" s="7"/>
      <c r="BG20" s="7"/>
      <c r="BH20" s="7"/>
      <c r="BI20" s="7"/>
      <c r="BJ20" s="7"/>
      <c r="BK20" s="7"/>
      <c r="BL20" s="7"/>
      <c r="BM20" s="7"/>
      <c r="BN20" s="7"/>
      <c r="BO20" s="7"/>
      <c r="BP20" s="7"/>
      <c r="BQ20" s="7"/>
      <c r="BR20" s="7"/>
      <c r="BS20" s="7"/>
      <c r="BT20" s="7"/>
      <c r="BU20" s="7"/>
      <c r="BV20" s="7"/>
      <c r="BW20" s="7"/>
      <c r="BX20" s="7"/>
      <c r="BY20" s="7"/>
      <c r="BZ20" s="7"/>
    </row>
    <row r="21" spans="1:78" x14ac:dyDescent="0.3">
      <c r="A21" s="7"/>
      <c r="B21" s="7"/>
      <c r="C21" s="7"/>
      <c r="D21" s="7"/>
      <c r="E21" s="7"/>
      <c r="F21" s="7"/>
      <c r="G21" s="7"/>
      <c r="H21" s="7"/>
      <c r="I21" s="7"/>
      <c r="J21" s="7"/>
      <c r="K21" s="7"/>
      <c r="L21" s="7"/>
      <c r="M21" s="7"/>
      <c r="N21" s="7"/>
      <c r="O21" s="7"/>
      <c r="P21" s="7"/>
      <c r="Q21" s="7"/>
      <c r="R21" s="7"/>
      <c r="S21" s="7"/>
      <c r="T21" s="7"/>
      <c r="U21" s="7"/>
      <c r="V21" s="7"/>
      <c r="W21" s="7"/>
      <c r="X21" s="7"/>
      <c r="Y21" s="7"/>
      <c r="Z21" s="7"/>
      <c r="AA21" s="7"/>
      <c r="AB21" s="7"/>
      <c r="AC21" s="7"/>
      <c r="AD21" s="7"/>
      <c r="AE21" s="7"/>
      <c r="AF21" s="7"/>
      <c r="AG21" s="7"/>
      <c r="AH21" s="7"/>
      <c r="AI21" s="7"/>
      <c r="AJ21" s="7"/>
      <c r="AK21" s="7"/>
      <c r="AL21" s="7"/>
      <c r="AM21" s="7"/>
      <c r="AN21" s="7"/>
      <c r="AO21" s="7"/>
      <c r="AP21" s="7"/>
      <c r="AQ21" s="7"/>
      <c r="AR21" s="7"/>
      <c r="AS21" s="7"/>
      <c r="AT21" s="7"/>
      <c r="AU21" s="7"/>
      <c r="AV21" s="7"/>
      <c r="AW21" s="7"/>
      <c r="AX21" s="7"/>
      <c r="AY21" s="7"/>
      <c r="AZ21" s="7"/>
      <c r="BA21" s="7"/>
      <c r="BB21" s="7"/>
      <c r="BC21" s="7"/>
      <c r="BD21" s="7"/>
      <c r="BE21" s="7"/>
      <c r="BF21" s="7"/>
      <c r="BG21" s="7"/>
      <c r="BH21" s="7"/>
      <c r="BI21" s="7"/>
      <c r="BJ21" s="7"/>
      <c r="BK21" s="7"/>
      <c r="BL21" s="7"/>
      <c r="BM21" s="7"/>
      <c r="BN21" s="7"/>
      <c r="BO21" s="7"/>
      <c r="BP21" s="7"/>
      <c r="BQ21" s="7"/>
      <c r="BR21" s="7"/>
      <c r="BS21" s="7"/>
      <c r="BT21" s="7"/>
      <c r="BU21" s="7"/>
      <c r="BV21" s="7"/>
      <c r="BW21" s="7"/>
      <c r="BX21" s="7"/>
      <c r="BY21" s="7"/>
      <c r="BZ21" s="7"/>
    </row>
    <row r="22" spans="1:78" x14ac:dyDescent="0.3">
      <c r="A22" s="7"/>
      <c r="B22" s="7"/>
      <c r="C22" s="7"/>
      <c r="D22" s="7"/>
      <c r="E22" s="7"/>
      <c r="F22" s="7"/>
      <c r="G22" s="7"/>
      <c r="H22" s="7"/>
      <c r="I22" s="7"/>
      <c r="J22" s="7"/>
      <c r="K22" s="7"/>
      <c r="L22" s="7"/>
      <c r="M22" s="7"/>
      <c r="N22" s="7"/>
      <c r="O22" s="7"/>
      <c r="P22" s="7"/>
      <c r="Q22" s="7"/>
      <c r="R22" s="7"/>
      <c r="S22" s="7"/>
      <c r="T22" s="7"/>
      <c r="U22" s="7"/>
      <c r="V22" s="7"/>
      <c r="W22" s="7"/>
      <c r="X22" s="7"/>
      <c r="Y22" s="7"/>
      <c r="Z22" s="7"/>
      <c r="AA22" s="7"/>
      <c r="AB22" s="7"/>
      <c r="AC22" s="7"/>
      <c r="AD22" s="7"/>
      <c r="AE22" s="7"/>
      <c r="AF22" s="7"/>
      <c r="AG22" s="7"/>
      <c r="AH22" s="7"/>
      <c r="AI22" s="7"/>
      <c r="AJ22" s="7"/>
      <c r="AK22" s="7"/>
      <c r="AL22" s="7"/>
      <c r="AM22" s="7"/>
      <c r="AN22" s="7"/>
      <c r="AO22" s="7"/>
      <c r="AP22" s="7"/>
      <c r="AQ22" s="7"/>
      <c r="AR22" s="7"/>
      <c r="AS22" s="7"/>
      <c r="AT22" s="7"/>
      <c r="AU22" s="7"/>
      <c r="AV22" s="7"/>
      <c r="AW22" s="7"/>
      <c r="AX22" s="7"/>
      <c r="AY22" s="7"/>
      <c r="AZ22" s="7"/>
      <c r="BA22" s="7"/>
      <c r="BB22" s="7"/>
      <c r="BC22" s="7"/>
      <c r="BD22" s="7"/>
      <c r="BE22" s="7"/>
      <c r="BF22" s="7"/>
      <c r="BG22" s="7"/>
      <c r="BH22" s="7"/>
      <c r="BI22" s="7"/>
      <c r="BJ22" s="7"/>
      <c r="BK22" s="7"/>
      <c r="BL22" s="7"/>
      <c r="BM22" s="7"/>
      <c r="BN22" s="7"/>
      <c r="BO22" s="7"/>
      <c r="BP22" s="7"/>
      <c r="BQ22" s="7"/>
      <c r="BR22" s="7"/>
      <c r="BS22" s="7"/>
      <c r="BT22" s="7"/>
      <c r="BU22" s="7"/>
      <c r="BV22" s="7"/>
      <c r="BW22" s="7"/>
      <c r="BX22" s="7"/>
      <c r="BY22" s="7"/>
      <c r="BZ22" s="7"/>
    </row>
    <row r="23" spans="1:78" x14ac:dyDescent="0.3">
      <c r="A23" s="7"/>
      <c r="B23" s="7"/>
      <c r="C23" s="7"/>
      <c r="D23" s="7"/>
      <c r="E23" s="7"/>
      <c r="F23" s="7"/>
      <c r="G23" s="7"/>
      <c r="H23" s="7"/>
      <c r="I23" s="7"/>
      <c r="J23" s="7"/>
      <c r="K23" s="7"/>
      <c r="L23" s="7"/>
      <c r="M23" s="7"/>
      <c r="N23" s="7"/>
      <c r="O23" s="7"/>
      <c r="P23" s="7"/>
      <c r="Q23" s="7"/>
      <c r="R23" s="7"/>
      <c r="S23" s="7"/>
      <c r="T23" s="7"/>
      <c r="U23" s="7"/>
      <c r="V23" s="7"/>
      <c r="W23" s="7"/>
      <c r="X23" s="7"/>
      <c r="Y23" s="7"/>
      <c r="Z23" s="7"/>
      <c r="AA23" s="7"/>
      <c r="AB23" s="7"/>
      <c r="AC23" s="7"/>
      <c r="AD23" s="7"/>
      <c r="AE23" s="7"/>
      <c r="AF23" s="7"/>
      <c r="AG23" s="7"/>
      <c r="AH23" s="7"/>
      <c r="AI23" s="7"/>
      <c r="AJ23" s="7"/>
      <c r="AK23" s="7"/>
      <c r="AL23" s="7"/>
      <c r="AM23" s="7"/>
      <c r="AN23" s="7"/>
      <c r="AO23" s="7"/>
      <c r="AP23" s="7"/>
      <c r="AQ23" s="7"/>
      <c r="AR23" s="7"/>
      <c r="AS23" s="7"/>
      <c r="AT23" s="7"/>
      <c r="AU23" s="7"/>
      <c r="AV23" s="7"/>
      <c r="AW23" s="7"/>
      <c r="AX23" s="7"/>
      <c r="AY23" s="7"/>
      <c r="AZ23" s="7"/>
      <c r="BA23" s="7"/>
      <c r="BB23" s="7"/>
      <c r="BC23" s="7"/>
      <c r="BD23" s="7"/>
      <c r="BE23" s="7"/>
      <c r="BF23" s="7"/>
      <c r="BG23" s="7"/>
      <c r="BH23" s="7"/>
      <c r="BI23" s="7"/>
      <c r="BJ23" s="7"/>
      <c r="BK23" s="7"/>
      <c r="BL23" s="7"/>
      <c r="BM23" s="7"/>
      <c r="BN23" s="7"/>
      <c r="BO23" s="7"/>
      <c r="BP23" s="7"/>
      <c r="BQ23" s="7"/>
      <c r="BR23" s="7"/>
      <c r="BS23" s="7"/>
      <c r="BT23" s="7"/>
      <c r="BU23" s="7"/>
      <c r="BV23" s="7"/>
      <c r="BW23" s="7"/>
      <c r="BX23" s="7"/>
      <c r="BY23" s="7"/>
      <c r="BZ23" s="7"/>
    </row>
    <row r="24" spans="1:78" x14ac:dyDescent="0.3">
      <c r="A24" s="7"/>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c r="AE24" s="7"/>
      <c r="AF24" s="7"/>
      <c r="AG24" s="7"/>
      <c r="AH24" s="7"/>
      <c r="AI24" s="7"/>
      <c r="AJ24" s="7"/>
      <c r="AK24" s="7"/>
      <c r="AL24" s="7"/>
      <c r="AM24" s="7"/>
      <c r="AN24" s="7"/>
      <c r="AO24" s="7"/>
      <c r="AP24" s="7"/>
      <c r="AQ24" s="7"/>
      <c r="AR24" s="7"/>
      <c r="AS24" s="7"/>
      <c r="AT24" s="7"/>
      <c r="AU24" s="7"/>
      <c r="AV24" s="7"/>
      <c r="AW24" s="7"/>
      <c r="AX24" s="7"/>
      <c r="AY24" s="7"/>
      <c r="AZ24" s="7"/>
      <c r="BA24" s="7"/>
      <c r="BB24" s="7"/>
      <c r="BC24" s="7"/>
      <c r="BD24" s="7"/>
      <c r="BE24" s="7"/>
      <c r="BF24" s="7"/>
      <c r="BG24" s="7"/>
      <c r="BH24" s="7"/>
      <c r="BI24" s="7"/>
      <c r="BJ24" s="7"/>
      <c r="BK24" s="7"/>
      <c r="BL24" s="7"/>
      <c r="BM24" s="7"/>
      <c r="BN24" s="7"/>
      <c r="BO24" s="7"/>
      <c r="BP24" s="7"/>
      <c r="BQ24" s="7"/>
      <c r="BR24" s="7"/>
      <c r="BS24" s="7"/>
      <c r="BT24" s="7"/>
      <c r="BU24" s="7"/>
      <c r="BV24" s="7"/>
      <c r="BW24" s="7"/>
      <c r="BX24" s="7"/>
      <c r="BY24" s="7"/>
      <c r="BZ24" s="7"/>
    </row>
    <row r="25" spans="1:78" x14ac:dyDescent="0.3">
      <c r="A25" s="7"/>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c r="AE25" s="7"/>
      <c r="AF25" s="7"/>
      <c r="AG25" s="7"/>
      <c r="AH25" s="7"/>
      <c r="AI25" s="7"/>
      <c r="AJ25" s="7"/>
      <c r="AK25" s="7"/>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7"/>
      <c r="BL25" s="7"/>
      <c r="BM25" s="7"/>
      <c r="BN25" s="7"/>
      <c r="BO25" s="7"/>
      <c r="BP25" s="7"/>
      <c r="BQ25" s="7"/>
      <c r="BR25" s="7"/>
      <c r="BS25" s="7"/>
      <c r="BT25" s="7"/>
      <c r="BU25" s="7"/>
      <c r="BV25" s="7"/>
      <c r="BW25" s="7"/>
      <c r="BX25" s="7"/>
      <c r="BY25" s="7"/>
      <c r="BZ25" s="7"/>
    </row>
    <row r="26" spans="1:78" x14ac:dyDescent="0.3">
      <c r="A26" s="7"/>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c r="AE26" s="7"/>
      <c r="AF26" s="7"/>
      <c r="AG26" s="7"/>
      <c r="AH26" s="7"/>
      <c r="AI26" s="7"/>
      <c r="AJ26" s="7"/>
      <c r="AK26" s="7"/>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c r="BP26" s="7"/>
      <c r="BQ26" s="7"/>
      <c r="BR26" s="7"/>
      <c r="BS26" s="7"/>
      <c r="BT26" s="7"/>
      <c r="BU26" s="7"/>
      <c r="BV26" s="7"/>
      <c r="BW26" s="7"/>
      <c r="BX26" s="7"/>
      <c r="BY26" s="7"/>
      <c r="BZ26" s="7"/>
    </row>
    <row r="27" spans="1:78" x14ac:dyDescent="0.3">
      <c r="A27" s="7"/>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7"/>
      <c r="BL27" s="7"/>
      <c r="BM27" s="7"/>
      <c r="BN27" s="7"/>
      <c r="BO27" s="7"/>
      <c r="BP27" s="7"/>
      <c r="BQ27" s="7"/>
      <c r="BR27" s="7"/>
      <c r="BS27" s="7"/>
      <c r="BT27" s="7"/>
      <c r="BU27" s="7"/>
      <c r="BV27" s="7"/>
      <c r="BW27" s="7"/>
      <c r="BX27" s="7"/>
      <c r="BY27" s="7"/>
      <c r="BZ27" s="7"/>
    </row>
    <row r="28" spans="1:78" x14ac:dyDescent="0.3">
      <c r="A28" s="7"/>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c r="AL28" s="7"/>
      <c r="AM28" s="7"/>
      <c r="AN28" s="7"/>
      <c r="AO28" s="7"/>
      <c r="AP28" s="7"/>
      <c r="AQ28" s="7"/>
      <c r="AR28" s="7"/>
      <c r="AS28" s="7"/>
      <c r="AT28" s="7"/>
      <c r="AU28" s="7"/>
      <c r="AV28" s="7"/>
      <c r="AW28" s="7"/>
      <c r="AX28" s="7"/>
      <c r="AY28" s="7"/>
      <c r="AZ28" s="7"/>
      <c r="BA28" s="7"/>
      <c r="BB28" s="7"/>
      <c r="BC28" s="7"/>
      <c r="BD28" s="7"/>
      <c r="BE28" s="7"/>
      <c r="BF28" s="7"/>
      <c r="BG28" s="7"/>
      <c r="BH28" s="7"/>
      <c r="BI28" s="7"/>
      <c r="BJ28" s="7"/>
      <c r="BK28" s="7"/>
      <c r="BL28" s="7"/>
      <c r="BM28" s="7"/>
      <c r="BN28" s="7"/>
      <c r="BO28" s="7"/>
      <c r="BP28" s="7"/>
      <c r="BQ28" s="7"/>
      <c r="BR28" s="7"/>
      <c r="BS28" s="7"/>
      <c r="BT28" s="7"/>
      <c r="BU28" s="7"/>
      <c r="BV28" s="7"/>
      <c r="BW28" s="7"/>
      <c r="BX28" s="7"/>
      <c r="BY28" s="7"/>
      <c r="BZ28" s="7"/>
    </row>
    <row r="29" spans="1:78" x14ac:dyDescent="0.3">
      <c r="A29" s="7"/>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c r="AL29" s="7"/>
      <c r="AM29" s="7"/>
      <c r="AN29" s="7"/>
      <c r="AO29" s="7"/>
      <c r="AP29" s="7"/>
      <c r="AQ29" s="7"/>
      <c r="AR29" s="7"/>
      <c r="AS29" s="7"/>
      <c r="AT29" s="7"/>
      <c r="AU29" s="7"/>
      <c r="AV29" s="7"/>
      <c r="AW29" s="7"/>
      <c r="AX29" s="7"/>
      <c r="AY29" s="7"/>
      <c r="AZ29" s="7"/>
      <c r="BA29" s="7"/>
      <c r="BB29" s="7"/>
      <c r="BC29" s="7"/>
      <c r="BD29" s="7"/>
      <c r="BE29" s="7"/>
      <c r="BF29" s="7"/>
      <c r="BG29" s="7"/>
      <c r="BH29" s="7"/>
      <c r="BI29" s="7"/>
      <c r="BJ29" s="7"/>
      <c r="BK29" s="7"/>
      <c r="BL29" s="7"/>
      <c r="BM29" s="7"/>
      <c r="BN29" s="7"/>
      <c r="BO29" s="7"/>
      <c r="BP29" s="7"/>
      <c r="BQ29" s="7"/>
      <c r="BR29" s="7"/>
      <c r="BS29" s="7"/>
      <c r="BT29" s="7"/>
      <c r="BU29" s="7"/>
      <c r="BV29" s="7"/>
      <c r="BW29" s="7"/>
      <c r="BX29" s="7"/>
      <c r="BY29" s="7"/>
      <c r="BZ29" s="7"/>
    </row>
    <row r="30" spans="1:78" x14ac:dyDescent="0.3">
      <c r="A30" s="7"/>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c r="AL30" s="7"/>
      <c r="AM30" s="7"/>
      <c r="AN30" s="7"/>
      <c r="AO30" s="7"/>
      <c r="AP30" s="7"/>
      <c r="AQ30" s="7"/>
      <c r="AR30" s="7"/>
      <c r="AS30" s="7"/>
      <c r="AT30" s="7"/>
      <c r="AU30" s="7"/>
      <c r="AV30" s="7"/>
      <c r="AW30" s="7"/>
      <c r="AX30" s="7"/>
      <c r="AY30" s="7"/>
      <c r="AZ30" s="7"/>
      <c r="BA30" s="7"/>
      <c r="BB30" s="7"/>
      <c r="BC30" s="7"/>
      <c r="BD30" s="7"/>
      <c r="BE30" s="7"/>
      <c r="BF30" s="7"/>
      <c r="BG30" s="7"/>
      <c r="BH30" s="7"/>
      <c r="BI30" s="7"/>
      <c r="BJ30" s="7"/>
      <c r="BK30" s="7"/>
      <c r="BL30" s="7"/>
      <c r="BM30" s="7"/>
      <c r="BN30" s="7"/>
      <c r="BO30" s="7"/>
      <c r="BP30" s="7"/>
      <c r="BQ30" s="7"/>
      <c r="BR30" s="7"/>
      <c r="BS30" s="7"/>
      <c r="BT30" s="7"/>
      <c r="BU30" s="7"/>
      <c r="BV30" s="7"/>
      <c r="BW30" s="7"/>
      <c r="BX30" s="7"/>
      <c r="BY30" s="7"/>
      <c r="BZ30" s="7"/>
    </row>
    <row r="31" spans="1:78" x14ac:dyDescent="0.3">
      <c r="A31" s="7"/>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c r="AL31" s="7"/>
      <c r="AM31" s="7"/>
      <c r="AN31" s="7"/>
      <c r="AO31" s="7"/>
      <c r="AP31" s="7"/>
      <c r="AQ31" s="7"/>
      <c r="AR31" s="7"/>
      <c r="AS31" s="7"/>
      <c r="AT31" s="7"/>
      <c r="AU31" s="7"/>
      <c r="AV31" s="7"/>
      <c r="AW31" s="7"/>
      <c r="AX31" s="7"/>
      <c r="AY31" s="7"/>
      <c r="AZ31" s="7"/>
      <c r="BA31" s="7"/>
      <c r="BB31" s="7"/>
      <c r="BC31" s="7"/>
      <c r="BD31" s="7"/>
      <c r="BE31" s="7"/>
      <c r="BF31" s="7"/>
      <c r="BG31" s="7"/>
      <c r="BH31" s="7"/>
      <c r="BI31" s="7"/>
      <c r="BJ31" s="7"/>
      <c r="BK31" s="7"/>
      <c r="BL31" s="7"/>
      <c r="BM31" s="7"/>
      <c r="BN31" s="7"/>
      <c r="BO31" s="7"/>
      <c r="BP31" s="7"/>
      <c r="BQ31" s="7"/>
      <c r="BR31" s="7"/>
      <c r="BS31" s="7"/>
      <c r="BT31" s="7"/>
      <c r="BU31" s="7"/>
      <c r="BV31" s="7"/>
      <c r="BW31" s="7"/>
      <c r="BX31" s="7"/>
      <c r="BY31" s="7"/>
      <c r="BZ31" s="7"/>
    </row>
    <row r="32" spans="1:78" x14ac:dyDescent="0.3">
      <c r="A32" s="7"/>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c r="AL32" s="7"/>
      <c r="AM32" s="7"/>
      <c r="AN32" s="7"/>
      <c r="AO32" s="7"/>
      <c r="AP32" s="7"/>
      <c r="AQ32" s="7"/>
      <c r="AR32" s="7"/>
      <c r="AS32" s="7"/>
      <c r="AT32" s="7"/>
      <c r="AU32" s="7"/>
      <c r="AV32" s="7"/>
      <c r="AW32" s="7"/>
      <c r="AX32" s="7"/>
      <c r="AY32" s="7"/>
      <c r="AZ32" s="7"/>
      <c r="BA32" s="7"/>
      <c r="BB32" s="7"/>
      <c r="BC32" s="7"/>
      <c r="BD32" s="7"/>
      <c r="BE32" s="7"/>
      <c r="BF32" s="7"/>
      <c r="BG32" s="7"/>
      <c r="BH32" s="7"/>
      <c r="BI32" s="7"/>
      <c r="BJ32" s="7"/>
      <c r="BK32" s="7"/>
      <c r="BL32" s="7"/>
      <c r="BM32" s="7"/>
      <c r="BN32" s="7"/>
      <c r="BO32" s="7"/>
      <c r="BP32" s="7"/>
      <c r="BQ32" s="7"/>
      <c r="BR32" s="7"/>
      <c r="BS32" s="7"/>
      <c r="BT32" s="7"/>
      <c r="BU32" s="7"/>
      <c r="BV32" s="7"/>
      <c r="BW32" s="7"/>
      <c r="BX32" s="7"/>
      <c r="BY32" s="7"/>
      <c r="BZ32" s="7"/>
    </row>
    <row r="33" spans="1:78" x14ac:dyDescent="0.3">
      <c r="A33" s="7"/>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c r="AL33" s="7"/>
      <c r="AM33" s="7"/>
      <c r="AN33" s="7"/>
      <c r="AO33" s="7"/>
      <c r="AP33" s="7"/>
      <c r="AQ33" s="7"/>
      <c r="AR33" s="7"/>
      <c r="AS33" s="7"/>
      <c r="AT33" s="7"/>
      <c r="AU33" s="7"/>
      <c r="AV33" s="7"/>
      <c r="AW33" s="7"/>
      <c r="AX33" s="7"/>
      <c r="AY33" s="7"/>
      <c r="AZ33" s="7"/>
      <c r="BA33" s="7"/>
      <c r="BB33" s="7"/>
      <c r="BC33" s="7"/>
      <c r="BD33" s="7"/>
      <c r="BE33" s="7"/>
      <c r="BF33" s="7"/>
      <c r="BG33" s="7"/>
      <c r="BH33" s="7"/>
      <c r="BI33" s="7"/>
      <c r="BJ33" s="7"/>
      <c r="BK33" s="7"/>
      <c r="BL33" s="7"/>
      <c r="BM33" s="7"/>
      <c r="BN33" s="7"/>
      <c r="BO33" s="7"/>
      <c r="BP33" s="7"/>
      <c r="BQ33" s="7"/>
      <c r="BR33" s="7"/>
      <c r="BS33" s="7"/>
      <c r="BT33" s="7"/>
      <c r="BU33" s="7"/>
      <c r="BV33" s="7"/>
      <c r="BW33" s="7"/>
      <c r="BX33" s="7"/>
      <c r="BY33" s="7"/>
      <c r="BZ33" s="7"/>
    </row>
    <row r="34" spans="1:78" x14ac:dyDescent="0.3">
      <c r="A34" s="7"/>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c r="AL34" s="7"/>
      <c r="AM34" s="7"/>
      <c r="AN34" s="7"/>
      <c r="AO34" s="7"/>
      <c r="AP34" s="7"/>
      <c r="AQ34" s="7"/>
      <c r="AR34" s="7"/>
      <c r="AS34" s="7"/>
      <c r="AT34" s="7"/>
      <c r="AU34" s="7"/>
      <c r="AV34" s="7"/>
      <c r="AW34" s="7"/>
      <c r="AX34" s="7"/>
      <c r="AY34" s="7"/>
      <c r="AZ34" s="7"/>
      <c r="BA34" s="7"/>
      <c r="BB34" s="7"/>
      <c r="BC34" s="7"/>
      <c r="BD34" s="7"/>
      <c r="BE34" s="7"/>
      <c r="BF34" s="7"/>
      <c r="BG34" s="7"/>
      <c r="BH34" s="7"/>
      <c r="BI34" s="7"/>
      <c r="BJ34" s="7"/>
      <c r="BK34" s="7"/>
      <c r="BL34" s="7"/>
      <c r="BM34" s="7"/>
      <c r="BN34" s="7"/>
      <c r="BO34" s="7"/>
      <c r="BP34" s="7"/>
      <c r="BQ34" s="7"/>
      <c r="BR34" s="7"/>
      <c r="BS34" s="7"/>
      <c r="BT34" s="7"/>
      <c r="BU34" s="7"/>
      <c r="BV34" s="7"/>
      <c r="BW34" s="7"/>
      <c r="BX34" s="7"/>
      <c r="BY34" s="7"/>
      <c r="BZ34" s="7"/>
    </row>
    <row r="35" spans="1:78" x14ac:dyDescent="0.3">
      <c r="A35" s="7"/>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c r="AL35" s="7"/>
      <c r="AM35" s="7"/>
      <c r="AN35" s="7"/>
      <c r="AO35" s="7"/>
      <c r="AP35" s="7"/>
      <c r="AQ35" s="7"/>
      <c r="AR35" s="7"/>
      <c r="AS35" s="7"/>
      <c r="AT35" s="7"/>
      <c r="AU35" s="7"/>
      <c r="AV35" s="7"/>
      <c r="AW35" s="7"/>
      <c r="AX35" s="7"/>
      <c r="AY35" s="7"/>
      <c r="AZ35" s="7"/>
      <c r="BA35" s="7"/>
      <c r="BB35" s="7"/>
      <c r="BC35" s="7"/>
      <c r="BD35" s="7"/>
      <c r="BE35" s="7"/>
      <c r="BF35" s="7"/>
      <c r="BG35" s="7"/>
      <c r="BH35" s="7"/>
      <c r="BI35" s="7"/>
      <c r="BJ35" s="7"/>
      <c r="BK35" s="7"/>
      <c r="BL35" s="7"/>
      <c r="BM35" s="7"/>
      <c r="BN35" s="7"/>
      <c r="BO35" s="7"/>
      <c r="BP35" s="7"/>
      <c r="BQ35" s="7"/>
      <c r="BR35" s="7"/>
      <c r="BS35" s="7"/>
      <c r="BT35" s="7"/>
      <c r="BU35" s="7"/>
      <c r="BV35" s="7"/>
      <c r="BW35" s="7"/>
      <c r="BX35" s="7"/>
      <c r="BY35" s="7"/>
      <c r="BZ35" s="7"/>
    </row>
    <row r="36" spans="1:78" x14ac:dyDescent="0.3">
      <c r="A36" s="7"/>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c r="AL36" s="7"/>
      <c r="AM36" s="7"/>
      <c r="AN36" s="7"/>
      <c r="AO36" s="7"/>
      <c r="AP36" s="7"/>
      <c r="AQ36" s="7"/>
      <c r="AR36" s="7"/>
      <c r="AS36" s="7"/>
      <c r="AT36" s="7"/>
      <c r="AU36" s="7"/>
      <c r="AV36" s="7"/>
      <c r="AW36" s="7"/>
      <c r="AX36" s="7"/>
      <c r="AY36" s="7"/>
      <c r="AZ36" s="7"/>
      <c r="BA36" s="7"/>
      <c r="BB36" s="7"/>
      <c r="BC36" s="7"/>
      <c r="BD36" s="7"/>
      <c r="BE36" s="7"/>
      <c r="BF36" s="7"/>
      <c r="BG36" s="7"/>
      <c r="BH36" s="7"/>
      <c r="BI36" s="7"/>
      <c r="BJ36" s="7"/>
      <c r="BK36" s="7"/>
      <c r="BL36" s="7"/>
      <c r="BM36" s="7"/>
      <c r="BN36" s="7"/>
      <c r="BO36" s="7"/>
      <c r="BP36" s="7"/>
      <c r="BQ36" s="7"/>
      <c r="BR36" s="7"/>
      <c r="BS36" s="7"/>
      <c r="BT36" s="7"/>
      <c r="BU36" s="7"/>
      <c r="BV36" s="7"/>
      <c r="BW36" s="7"/>
      <c r="BX36" s="7"/>
      <c r="BY36" s="7"/>
      <c r="BZ36" s="7"/>
    </row>
    <row r="37" spans="1:78" x14ac:dyDescent="0.3">
      <c r="A37" s="7"/>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c r="AL37" s="7"/>
      <c r="AM37" s="7"/>
      <c r="AN37" s="7"/>
      <c r="AO37" s="7"/>
      <c r="AP37" s="7"/>
      <c r="AQ37" s="7"/>
      <c r="AR37" s="7"/>
      <c r="AS37" s="7"/>
      <c r="AT37" s="7"/>
      <c r="AU37" s="7"/>
      <c r="AV37" s="7"/>
      <c r="AW37" s="7"/>
      <c r="AX37" s="7"/>
      <c r="AY37" s="7"/>
      <c r="AZ37" s="7"/>
      <c r="BA37" s="7"/>
      <c r="BB37" s="7"/>
      <c r="BC37" s="7"/>
      <c r="BD37" s="7"/>
      <c r="BE37" s="7"/>
      <c r="BF37" s="7"/>
      <c r="BG37" s="7"/>
      <c r="BH37" s="7"/>
      <c r="BI37" s="7"/>
      <c r="BJ37" s="7"/>
      <c r="BK37" s="7"/>
      <c r="BL37" s="7"/>
      <c r="BM37" s="7"/>
      <c r="BN37" s="7"/>
      <c r="BO37" s="7"/>
      <c r="BP37" s="7"/>
      <c r="BQ37" s="7"/>
      <c r="BR37" s="7"/>
      <c r="BS37" s="7"/>
      <c r="BT37" s="7"/>
      <c r="BU37" s="7"/>
      <c r="BV37" s="7"/>
      <c r="BW37" s="7"/>
      <c r="BX37" s="7"/>
      <c r="BY37" s="7"/>
      <c r="BZ37" s="7"/>
    </row>
    <row r="38" spans="1:78" x14ac:dyDescent="0.3">
      <c r="A38" s="7"/>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c r="AL38" s="7"/>
      <c r="AM38" s="7"/>
      <c r="AN38" s="7"/>
      <c r="AO38" s="7"/>
      <c r="AP38" s="7"/>
      <c r="AQ38" s="7"/>
      <c r="AR38" s="7"/>
      <c r="AS38" s="7"/>
      <c r="AT38" s="7"/>
      <c r="AU38" s="7"/>
      <c r="AV38" s="7"/>
      <c r="AW38" s="7"/>
      <c r="AX38" s="7"/>
      <c r="AY38" s="7"/>
      <c r="AZ38" s="7"/>
      <c r="BA38" s="7"/>
      <c r="BB38" s="7"/>
      <c r="BC38" s="7"/>
      <c r="BD38" s="7"/>
      <c r="BE38" s="7"/>
      <c r="BF38" s="7"/>
      <c r="BG38" s="7"/>
      <c r="BH38" s="7"/>
      <c r="BI38" s="7"/>
      <c r="BJ38" s="7"/>
      <c r="BK38" s="7"/>
      <c r="BL38" s="7"/>
      <c r="BM38" s="7"/>
      <c r="BN38" s="7"/>
      <c r="BO38" s="7"/>
      <c r="BP38" s="7"/>
      <c r="BQ38" s="7"/>
      <c r="BR38" s="7"/>
      <c r="BS38" s="7"/>
      <c r="BT38" s="7"/>
      <c r="BU38" s="7"/>
      <c r="BV38" s="7"/>
      <c r="BW38" s="7"/>
      <c r="BX38" s="7"/>
      <c r="BY38" s="7"/>
      <c r="BZ38" s="7"/>
    </row>
    <row r="39" spans="1:78" x14ac:dyDescent="0.3">
      <c r="A39" s="7"/>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c r="AL39" s="7"/>
      <c r="AM39" s="7"/>
      <c r="AN39" s="7"/>
      <c r="AO39" s="7"/>
      <c r="AP39" s="7"/>
      <c r="AQ39" s="7"/>
      <c r="AR39" s="7"/>
      <c r="AS39" s="7"/>
      <c r="AT39" s="7"/>
      <c r="AU39" s="7"/>
      <c r="AV39" s="7"/>
      <c r="AW39" s="7"/>
      <c r="AX39" s="7"/>
      <c r="AY39" s="7"/>
      <c r="AZ39" s="7"/>
      <c r="BA39" s="7"/>
      <c r="BB39" s="7"/>
      <c r="BC39" s="7"/>
      <c r="BD39" s="7"/>
      <c r="BE39" s="7"/>
      <c r="BF39" s="7"/>
      <c r="BG39" s="7"/>
      <c r="BH39" s="7"/>
      <c r="BI39" s="7"/>
      <c r="BJ39" s="7"/>
      <c r="BK39" s="7"/>
      <c r="BL39" s="7"/>
      <c r="BM39" s="7"/>
      <c r="BN39" s="7"/>
      <c r="BO39" s="7"/>
      <c r="BP39" s="7"/>
      <c r="BQ39" s="7"/>
      <c r="BR39" s="7"/>
      <c r="BS39" s="7"/>
      <c r="BT39" s="7"/>
      <c r="BU39" s="7"/>
      <c r="BV39" s="7"/>
      <c r="BW39" s="7"/>
      <c r="BX39" s="7"/>
      <c r="BY39" s="7"/>
      <c r="BZ39" s="7"/>
    </row>
    <row r="40" spans="1:78" x14ac:dyDescent="0.3">
      <c r="A40" s="7"/>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c r="AL40" s="7"/>
      <c r="AM40" s="7"/>
      <c r="AN40" s="7"/>
      <c r="AO40" s="7"/>
      <c r="AP40" s="7"/>
      <c r="AQ40" s="7"/>
      <c r="AR40" s="7"/>
      <c r="AS40" s="7"/>
      <c r="AT40" s="7"/>
      <c r="AU40" s="7"/>
      <c r="AV40" s="7"/>
      <c r="AW40" s="7"/>
      <c r="AX40" s="7"/>
      <c r="AY40" s="7"/>
      <c r="AZ40" s="7"/>
      <c r="BA40" s="7"/>
      <c r="BB40" s="7"/>
      <c r="BC40" s="7"/>
      <c r="BD40" s="7"/>
      <c r="BE40" s="7"/>
      <c r="BF40" s="7"/>
      <c r="BG40" s="7"/>
      <c r="BH40" s="7"/>
      <c r="BI40" s="7"/>
      <c r="BJ40" s="7"/>
      <c r="BK40" s="7"/>
      <c r="BL40" s="7"/>
      <c r="BM40" s="7"/>
      <c r="BN40" s="7"/>
      <c r="BO40" s="7"/>
      <c r="BP40" s="7"/>
      <c r="BQ40" s="7"/>
      <c r="BR40" s="7"/>
      <c r="BS40" s="7"/>
      <c r="BT40" s="7"/>
      <c r="BU40" s="7"/>
      <c r="BV40" s="7"/>
      <c r="BW40" s="7"/>
      <c r="BX40" s="7"/>
      <c r="BY40" s="7"/>
      <c r="BZ40" s="7"/>
    </row>
    <row r="41" spans="1:78" x14ac:dyDescent="0.3">
      <c r="A41" s="7"/>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c r="AL41" s="7"/>
      <c r="AM41" s="7"/>
      <c r="AN41" s="7"/>
      <c r="AO41" s="7"/>
      <c r="AP41" s="7"/>
      <c r="AQ41" s="7"/>
      <c r="AR41" s="7"/>
      <c r="AS41" s="7"/>
      <c r="AT41" s="7"/>
      <c r="AU41" s="7"/>
      <c r="AV41" s="7"/>
      <c r="AW41" s="7"/>
      <c r="AX41" s="7"/>
      <c r="AY41" s="7"/>
      <c r="AZ41" s="7"/>
      <c r="BA41" s="7"/>
      <c r="BB41" s="7"/>
      <c r="BC41" s="7"/>
      <c r="BD41" s="7"/>
      <c r="BE41" s="7"/>
      <c r="BF41" s="7"/>
      <c r="BG41" s="7"/>
      <c r="BH41" s="7"/>
      <c r="BI41" s="7"/>
      <c r="BJ41" s="7"/>
      <c r="BK41" s="7"/>
      <c r="BL41" s="7"/>
      <c r="BM41" s="7"/>
      <c r="BN41" s="7"/>
      <c r="BO41" s="7"/>
      <c r="BP41" s="7"/>
      <c r="BQ41" s="7"/>
      <c r="BR41" s="7"/>
      <c r="BS41" s="7"/>
      <c r="BT41" s="7"/>
      <c r="BU41" s="7"/>
      <c r="BV41" s="7"/>
      <c r="BW41" s="7"/>
      <c r="BX41" s="7"/>
      <c r="BY41" s="7"/>
      <c r="BZ41" s="7"/>
    </row>
    <row r="42" spans="1:78" x14ac:dyDescent="0.3">
      <c r="A42" s="7"/>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7"/>
      <c r="AQ42" s="7"/>
      <c r="AR42" s="7"/>
      <c r="AS42" s="7"/>
      <c r="AT42" s="7"/>
      <c r="AU42" s="7"/>
      <c r="AV42" s="7"/>
      <c r="AW42" s="7"/>
      <c r="AX42" s="7"/>
      <c r="AY42" s="7"/>
      <c r="AZ42" s="7"/>
      <c r="BA42" s="7"/>
      <c r="BB42" s="7"/>
      <c r="BC42" s="7"/>
      <c r="BD42" s="7"/>
      <c r="BE42" s="7"/>
      <c r="BF42" s="7"/>
      <c r="BG42" s="7"/>
      <c r="BH42" s="7"/>
      <c r="BI42" s="7"/>
      <c r="BJ42" s="7"/>
      <c r="BK42" s="7"/>
      <c r="BL42" s="7"/>
      <c r="BM42" s="7"/>
      <c r="BN42" s="7"/>
      <c r="BO42" s="7"/>
      <c r="BP42" s="7"/>
      <c r="BQ42" s="7"/>
      <c r="BR42" s="7"/>
      <c r="BS42" s="7"/>
      <c r="BT42" s="7"/>
      <c r="BU42" s="7"/>
      <c r="BV42" s="7"/>
      <c r="BW42" s="7"/>
      <c r="BX42" s="7"/>
      <c r="BY42" s="7"/>
      <c r="BZ42" s="7"/>
    </row>
    <row r="43" spans="1:78" x14ac:dyDescent="0.3">
      <c r="A43" s="7"/>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c r="AQ43" s="7"/>
      <c r="AR43" s="7"/>
      <c r="AS43" s="7"/>
      <c r="AT43" s="7"/>
      <c r="AU43" s="7"/>
      <c r="AV43" s="7"/>
      <c r="AW43" s="7"/>
      <c r="AX43" s="7"/>
      <c r="AY43" s="7"/>
      <c r="AZ43" s="7"/>
      <c r="BA43" s="7"/>
      <c r="BB43" s="7"/>
      <c r="BC43" s="7"/>
      <c r="BD43" s="7"/>
      <c r="BE43" s="7"/>
      <c r="BF43" s="7"/>
      <c r="BG43" s="7"/>
      <c r="BH43" s="7"/>
      <c r="BI43" s="7"/>
      <c r="BJ43" s="7"/>
      <c r="BK43" s="7"/>
      <c r="BL43" s="7"/>
      <c r="BM43" s="7"/>
      <c r="BN43" s="7"/>
      <c r="BO43" s="7"/>
      <c r="BP43" s="7"/>
      <c r="BQ43" s="7"/>
      <c r="BR43" s="7"/>
      <c r="BS43" s="7"/>
      <c r="BT43" s="7"/>
      <c r="BU43" s="7"/>
      <c r="BV43" s="7"/>
      <c r="BW43" s="7"/>
      <c r="BX43" s="7"/>
      <c r="BY43" s="7"/>
      <c r="BZ43" s="7"/>
    </row>
    <row r="44" spans="1:78" x14ac:dyDescent="0.3">
      <c r="A44" s="7"/>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c r="AL44" s="7"/>
      <c r="AM44" s="7"/>
      <c r="AN44" s="7"/>
      <c r="AO44" s="7"/>
      <c r="AP44" s="7"/>
      <c r="AQ44" s="7"/>
      <c r="AR44" s="7"/>
      <c r="AS44" s="7"/>
      <c r="AT44" s="7"/>
      <c r="AU44" s="7"/>
      <c r="AV44" s="7"/>
      <c r="AW44" s="7"/>
      <c r="AX44" s="7"/>
      <c r="AY44" s="7"/>
      <c r="AZ44" s="7"/>
      <c r="BA44" s="7"/>
      <c r="BB44" s="7"/>
      <c r="BC44" s="7"/>
      <c r="BD44" s="7"/>
      <c r="BE44" s="7"/>
      <c r="BF44" s="7"/>
      <c r="BG44" s="7"/>
      <c r="BH44" s="7"/>
      <c r="BI44" s="7"/>
      <c r="BJ44" s="7"/>
      <c r="BK44" s="7"/>
      <c r="BL44" s="7"/>
      <c r="BM44" s="7"/>
      <c r="BN44" s="7"/>
      <c r="BO44" s="7"/>
      <c r="BP44" s="7"/>
      <c r="BQ44" s="7"/>
      <c r="BR44" s="7"/>
      <c r="BS44" s="7"/>
      <c r="BT44" s="7"/>
      <c r="BU44" s="7"/>
      <c r="BV44" s="7"/>
      <c r="BW44" s="7"/>
      <c r="BX44" s="7"/>
      <c r="BY44" s="7"/>
      <c r="BZ44" s="7"/>
    </row>
    <row r="45" spans="1:78" x14ac:dyDescent="0.3">
      <c r="A45" s="7"/>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c r="AL45" s="7"/>
      <c r="AM45" s="7"/>
      <c r="AN45" s="7"/>
      <c r="AO45" s="7"/>
      <c r="AP45" s="7"/>
      <c r="AQ45" s="7"/>
      <c r="AR45" s="7"/>
      <c r="AS45" s="7"/>
      <c r="AT45" s="7"/>
      <c r="AU45" s="7"/>
      <c r="AV45" s="7"/>
      <c r="AW45" s="7"/>
      <c r="AX45" s="7"/>
      <c r="AY45" s="7"/>
      <c r="AZ45" s="7"/>
      <c r="BA45" s="7"/>
      <c r="BB45" s="7"/>
      <c r="BC45" s="7"/>
      <c r="BD45" s="7"/>
      <c r="BE45" s="7"/>
      <c r="BF45" s="7"/>
      <c r="BG45" s="7"/>
      <c r="BH45" s="7"/>
      <c r="BI45" s="7"/>
      <c r="BJ45" s="7"/>
      <c r="BK45" s="7"/>
      <c r="BL45" s="7"/>
      <c r="BM45" s="7"/>
      <c r="BN45" s="7"/>
      <c r="BO45" s="7"/>
      <c r="BP45" s="7"/>
      <c r="BQ45" s="7"/>
      <c r="BR45" s="7"/>
      <c r="BS45" s="7"/>
      <c r="BT45" s="7"/>
      <c r="BU45" s="7"/>
      <c r="BV45" s="7"/>
      <c r="BW45" s="7"/>
      <c r="BX45" s="7"/>
      <c r="BY45" s="7"/>
      <c r="BZ45" s="7"/>
    </row>
    <row r="46" spans="1:78" x14ac:dyDescent="0.3">
      <c r="A46" s="7"/>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c r="AL46" s="7"/>
      <c r="AM46" s="7"/>
      <c r="AN46" s="7"/>
      <c r="AO46" s="7"/>
      <c r="AP46" s="7"/>
      <c r="AQ46" s="7"/>
      <c r="AR46" s="7"/>
      <c r="AS46" s="7"/>
      <c r="AT46" s="7"/>
      <c r="AU46" s="7"/>
      <c r="AV46" s="7"/>
      <c r="AW46" s="7"/>
      <c r="AX46" s="7"/>
      <c r="AY46" s="7"/>
      <c r="AZ46" s="7"/>
      <c r="BA46" s="7"/>
      <c r="BB46" s="7"/>
      <c r="BC46" s="7"/>
      <c r="BD46" s="7"/>
      <c r="BE46" s="7"/>
      <c r="BF46" s="7"/>
      <c r="BG46" s="7"/>
      <c r="BH46" s="7"/>
      <c r="BI46" s="7"/>
      <c r="BJ46" s="7"/>
      <c r="BK46" s="7"/>
      <c r="BL46" s="7"/>
      <c r="BM46" s="7"/>
      <c r="BN46" s="7"/>
      <c r="BO46" s="7"/>
      <c r="BP46" s="7"/>
      <c r="BQ46" s="7"/>
      <c r="BR46" s="7"/>
      <c r="BS46" s="7"/>
      <c r="BT46" s="7"/>
      <c r="BU46" s="7"/>
      <c r="BV46" s="7"/>
      <c r="BW46" s="7"/>
      <c r="BX46" s="7"/>
      <c r="BY46" s="7"/>
      <c r="BZ46" s="7"/>
    </row>
    <row r="47" spans="1:78" x14ac:dyDescent="0.3">
      <c r="A47" s="7"/>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c r="AL47" s="7"/>
      <c r="AM47" s="7"/>
      <c r="AN47" s="7"/>
      <c r="AO47" s="7"/>
      <c r="AP47" s="7"/>
      <c r="AQ47" s="7"/>
      <c r="AR47" s="7"/>
      <c r="AS47" s="7"/>
      <c r="AT47" s="7"/>
      <c r="AU47" s="7"/>
      <c r="AV47" s="7"/>
      <c r="AW47" s="7"/>
      <c r="AX47" s="7"/>
      <c r="AY47" s="7"/>
      <c r="AZ47" s="7"/>
      <c r="BA47" s="7"/>
      <c r="BB47" s="7"/>
      <c r="BC47" s="7"/>
      <c r="BD47" s="7"/>
      <c r="BE47" s="7"/>
      <c r="BF47" s="7"/>
      <c r="BG47" s="7"/>
      <c r="BH47" s="7"/>
      <c r="BI47" s="7"/>
      <c r="BJ47" s="7"/>
      <c r="BK47" s="7"/>
      <c r="BL47" s="7"/>
      <c r="BM47" s="7"/>
      <c r="BN47" s="7"/>
      <c r="BO47" s="7"/>
      <c r="BP47" s="7"/>
      <c r="BQ47" s="7"/>
      <c r="BR47" s="7"/>
      <c r="BS47" s="7"/>
      <c r="BT47" s="7"/>
      <c r="BU47" s="7"/>
      <c r="BV47" s="7"/>
      <c r="BW47" s="7"/>
      <c r="BX47" s="7"/>
      <c r="BY47" s="7"/>
      <c r="BZ47" s="7"/>
    </row>
    <row r="48" spans="1:78" x14ac:dyDescent="0.3">
      <c r="A48" s="7"/>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c r="AL48" s="7"/>
      <c r="AM48" s="7"/>
      <c r="AN48" s="7"/>
      <c r="AO48" s="7"/>
      <c r="AP48" s="7"/>
      <c r="AQ48" s="7"/>
      <c r="AR48" s="7"/>
      <c r="AS48" s="7"/>
      <c r="AT48" s="7"/>
      <c r="AU48" s="7"/>
      <c r="AV48" s="7"/>
      <c r="AW48" s="7"/>
      <c r="AX48" s="7"/>
      <c r="AY48" s="7"/>
      <c r="AZ48" s="7"/>
      <c r="BA48" s="7"/>
      <c r="BB48" s="7"/>
      <c r="BC48" s="7"/>
      <c r="BD48" s="7"/>
      <c r="BE48" s="7"/>
      <c r="BF48" s="7"/>
      <c r="BG48" s="7"/>
      <c r="BH48" s="7"/>
      <c r="BI48" s="7"/>
      <c r="BJ48" s="7"/>
      <c r="BK48" s="7"/>
      <c r="BL48" s="7"/>
      <c r="BM48" s="7"/>
      <c r="BN48" s="7"/>
      <c r="BO48" s="7"/>
      <c r="BP48" s="7"/>
      <c r="BQ48" s="7"/>
      <c r="BR48" s="7"/>
      <c r="BS48" s="7"/>
      <c r="BT48" s="7"/>
      <c r="BU48" s="7"/>
      <c r="BV48" s="7"/>
      <c r="BW48" s="7"/>
      <c r="BX48" s="7"/>
      <c r="BY48" s="7"/>
      <c r="BZ48" s="7"/>
    </row>
    <row r="49" spans="1:78" x14ac:dyDescent="0.3">
      <c r="A49" s="7"/>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c r="AL49" s="7"/>
      <c r="AM49" s="7"/>
      <c r="AN49" s="7"/>
      <c r="AO49" s="7"/>
      <c r="AP49" s="7"/>
      <c r="AQ49" s="7"/>
      <c r="AR49" s="7"/>
      <c r="AS49" s="7"/>
      <c r="AT49" s="7"/>
      <c r="AU49" s="7"/>
      <c r="AV49" s="7"/>
      <c r="AW49" s="7"/>
      <c r="AX49" s="7"/>
      <c r="AY49" s="7"/>
      <c r="AZ49" s="7"/>
      <c r="BA49" s="7"/>
      <c r="BB49" s="7"/>
      <c r="BC49" s="7"/>
      <c r="BD49" s="7"/>
      <c r="BE49" s="7"/>
      <c r="BF49" s="7"/>
      <c r="BG49" s="7"/>
      <c r="BH49" s="7"/>
      <c r="BI49" s="7"/>
      <c r="BJ49" s="7"/>
      <c r="BK49" s="7"/>
      <c r="BL49" s="7"/>
      <c r="BM49" s="7"/>
      <c r="BN49" s="7"/>
      <c r="BO49" s="7"/>
      <c r="BP49" s="7"/>
      <c r="BQ49" s="7"/>
      <c r="BR49" s="7"/>
      <c r="BS49" s="7"/>
      <c r="BT49" s="7"/>
      <c r="BU49" s="7"/>
      <c r="BV49" s="7"/>
      <c r="BW49" s="7"/>
      <c r="BX49" s="7"/>
      <c r="BY49" s="7"/>
      <c r="BZ49" s="7"/>
    </row>
    <row r="50" spans="1:78" x14ac:dyDescent="0.3">
      <c r="A50" s="7"/>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c r="AL50" s="7"/>
      <c r="AM50" s="7"/>
      <c r="AN50" s="7"/>
      <c r="AO50" s="7"/>
      <c r="AP50" s="7"/>
      <c r="AQ50" s="7"/>
      <c r="AR50" s="7"/>
      <c r="AS50" s="7"/>
      <c r="AT50" s="7"/>
      <c r="AU50" s="7"/>
      <c r="AV50" s="7"/>
      <c r="AW50" s="7"/>
      <c r="AX50" s="7"/>
      <c r="AY50" s="7"/>
      <c r="AZ50" s="7"/>
      <c r="BA50" s="7"/>
      <c r="BB50" s="7"/>
      <c r="BC50" s="7"/>
      <c r="BD50" s="7"/>
      <c r="BE50" s="7"/>
      <c r="BF50" s="7"/>
      <c r="BG50" s="7"/>
      <c r="BH50" s="7"/>
      <c r="BI50" s="7"/>
      <c r="BJ50" s="7"/>
      <c r="BK50" s="7"/>
      <c r="BL50" s="7"/>
      <c r="BM50" s="7"/>
      <c r="BN50" s="7"/>
      <c r="BO50" s="7"/>
      <c r="BP50" s="7"/>
      <c r="BQ50" s="7"/>
      <c r="BR50" s="7"/>
      <c r="BS50" s="7"/>
      <c r="BT50" s="7"/>
      <c r="BU50" s="7"/>
      <c r="BV50" s="7"/>
      <c r="BW50" s="7"/>
      <c r="BX50" s="7"/>
      <c r="BY50" s="7"/>
      <c r="BZ50" s="7"/>
    </row>
    <row r="51" spans="1:78" x14ac:dyDescent="0.3">
      <c r="A51" s="7"/>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c r="AL51" s="7"/>
      <c r="AM51" s="7"/>
      <c r="AN51" s="7"/>
      <c r="AO51" s="7"/>
      <c r="AP51" s="7"/>
      <c r="AQ51" s="7"/>
      <c r="AR51" s="7"/>
      <c r="AS51" s="7"/>
      <c r="AT51" s="7"/>
      <c r="AU51" s="7"/>
      <c r="AV51" s="7"/>
      <c r="AW51" s="7"/>
      <c r="AX51" s="7"/>
      <c r="AY51" s="7"/>
      <c r="AZ51" s="7"/>
      <c r="BA51" s="7"/>
      <c r="BB51" s="7"/>
      <c r="BC51" s="7"/>
      <c r="BD51" s="7"/>
      <c r="BE51" s="7"/>
      <c r="BF51" s="7"/>
      <c r="BG51" s="7"/>
      <c r="BH51" s="7"/>
      <c r="BI51" s="7"/>
      <c r="BJ51" s="7"/>
      <c r="BK51" s="7"/>
      <c r="BL51" s="7"/>
      <c r="BM51" s="7"/>
      <c r="BN51" s="7"/>
      <c r="BO51" s="7"/>
      <c r="BP51" s="7"/>
      <c r="BQ51" s="7"/>
      <c r="BR51" s="7"/>
      <c r="BS51" s="7"/>
      <c r="BT51" s="7"/>
      <c r="BU51" s="7"/>
      <c r="BV51" s="7"/>
      <c r="BW51" s="7"/>
      <c r="BX51" s="7"/>
      <c r="BY51" s="7"/>
      <c r="BZ51" s="7"/>
    </row>
    <row r="52" spans="1:78" x14ac:dyDescent="0.3">
      <c r="A52" s="7"/>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c r="AL52" s="7"/>
      <c r="AM52" s="7"/>
      <c r="AN52" s="7"/>
      <c r="AO52" s="7"/>
      <c r="AP52" s="7"/>
      <c r="AQ52" s="7"/>
      <c r="AR52" s="7"/>
      <c r="AS52" s="7"/>
      <c r="AT52" s="7"/>
      <c r="AU52" s="7"/>
      <c r="AV52" s="7"/>
      <c r="AW52" s="7"/>
      <c r="AX52" s="7"/>
      <c r="AY52" s="7"/>
      <c r="AZ52" s="7"/>
      <c r="BA52" s="7"/>
      <c r="BB52" s="7"/>
      <c r="BC52" s="7"/>
      <c r="BD52" s="7"/>
      <c r="BE52" s="7"/>
      <c r="BF52" s="7"/>
      <c r="BG52" s="7"/>
      <c r="BH52" s="7"/>
      <c r="BI52" s="7"/>
      <c r="BJ52" s="7"/>
      <c r="BK52" s="7"/>
      <c r="BL52" s="7"/>
      <c r="BM52" s="7"/>
      <c r="BN52" s="7"/>
      <c r="BO52" s="7"/>
      <c r="BP52" s="7"/>
      <c r="BQ52" s="7"/>
      <c r="BR52" s="7"/>
      <c r="BS52" s="7"/>
      <c r="BT52" s="7"/>
      <c r="BU52" s="7"/>
      <c r="BV52" s="7"/>
      <c r="BW52" s="7"/>
      <c r="BX52" s="7"/>
      <c r="BY52" s="7"/>
      <c r="BZ52" s="7"/>
    </row>
    <row r="53" spans="1:78" x14ac:dyDescent="0.3">
      <c r="A53" s="7"/>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c r="AL53" s="7"/>
      <c r="AM53" s="7"/>
      <c r="AN53" s="7"/>
      <c r="AO53" s="7"/>
      <c r="AP53" s="7"/>
      <c r="AQ53" s="7"/>
      <c r="AR53" s="7"/>
      <c r="AS53" s="7"/>
      <c r="AT53" s="7"/>
      <c r="AU53" s="7"/>
      <c r="AV53" s="7"/>
      <c r="AW53" s="7"/>
      <c r="AX53" s="7"/>
      <c r="AY53" s="7"/>
      <c r="AZ53" s="7"/>
      <c r="BA53" s="7"/>
      <c r="BB53" s="7"/>
      <c r="BC53" s="7"/>
      <c r="BD53" s="7"/>
      <c r="BE53" s="7"/>
      <c r="BF53" s="7"/>
      <c r="BG53" s="7"/>
      <c r="BH53" s="7"/>
      <c r="BI53" s="7"/>
      <c r="BJ53" s="7"/>
      <c r="BK53" s="7"/>
      <c r="BL53" s="7"/>
      <c r="BM53" s="7"/>
      <c r="BN53" s="7"/>
      <c r="BO53" s="7"/>
      <c r="BP53" s="7"/>
      <c r="BQ53" s="7"/>
      <c r="BR53" s="7"/>
      <c r="BS53" s="7"/>
      <c r="BT53" s="7"/>
      <c r="BU53" s="7"/>
      <c r="BV53" s="7"/>
      <c r="BW53" s="7"/>
      <c r="BX53" s="7"/>
      <c r="BY53" s="7"/>
      <c r="BZ53" s="7"/>
    </row>
    <row r="54" spans="1:78" x14ac:dyDescent="0.3">
      <c r="A54" s="7"/>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c r="AL54" s="7"/>
      <c r="AM54" s="7"/>
      <c r="AN54" s="7"/>
      <c r="AO54" s="7"/>
      <c r="AP54" s="7"/>
      <c r="AQ54" s="7"/>
      <c r="AR54" s="7"/>
      <c r="AS54" s="7"/>
      <c r="AT54" s="7"/>
      <c r="AU54" s="7"/>
      <c r="AV54" s="7"/>
      <c r="AW54" s="7"/>
      <c r="AX54" s="7"/>
      <c r="AY54" s="7"/>
      <c r="AZ54" s="7"/>
      <c r="BA54" s="7"/>
      <c r="BB54" s="7"/>
      <c r="BC54" s="7"/>
      <c r="BD54" s="7"/>
      <c r="BE54" s="7"/>
      <c r="BF54" s="7"/>
      <c r="BG54" s="7"/>
      <c r="BH54" s="7"/>
      <c r="BI54" s="7"/>
      <c r="BJ54" s="7"/>
      <c r="BK54" s="7"/>
      <c r="BL54" s="7"/>
      <c r="BM54" s="7"/>
      <c r="BN54" s="7"/>
      <c r="BO54" s="7"/>
      <c r="BP54" s="7"/>
      <c r="BQ54" s="7"/>
      <c r="BR54" s="7"/>
      <c r="BS54" s="7"/>
      <c r="BT54" s="7"/>
      <c r="BU54" s="7"/>
      <c r="BV54" s="7"/>
      <c r="BW54" s="7"/>
      <c r="BX54" s="7"/>
      <c r="BY54" s="7"/>
      <c r="BZ54" s="7"/>
    </row>
    <row r="55" spans="1:78" x14ac:dyDescent="0.3">
      <c r="A55" s="7"/>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c r="AL55" s="7"/>
      <c r="AM55" s="7"/>
      <c r="AN55" s="7"/>
      <c r="AO55" s="7"/>
      <c r="AP55" s="7"/>
      <c r="AQ55" s="7"/>
      <c r="AR55" s="7"/>
      <c r="AS55" s="7"/>
      <c r="AT55" s="7"/>
      <c r="AU55" s="7"/>
      <c r="AV55" s="7"/>
      <c r="AW55" s="7"/>
      <c r="AX55" s="7"/>
      <c r="AY55" s="7"/>
      <c r="AZ55" s="7"/>
      <c r="BA55" s="7"/>
      <c r="BB55" s="7"/>
      <c r="BC55" s="7"/>
      <c r="BD55" s="7"/>
      <c r="BE55" s="7"/>
      <c r="BF55" s="7"/>
      <c r="BG55" s="7"/>
      <c r="BH55" s="7"/>
      <c r="BI55" s="7"/>
      <c r="BJ55" s="7"/>
      <c r="BK55" s="7"/>
      <c r="BL55" s="7"/>
      <c r="BM55" s="7"/>
      <c r="BN55" s="7"/>
      <c r="BO55" s="7"/>
      <c r="BP55" s="7"/>
      <c r="BQ55" s="7"/>
      <c r="BR55" s="7"/>
      <c r="BS55" s="7"/>
      <c r="BT55" s="7"/>
      <c r="BU55" s="7"/>
      <c r="BV55" s="7"/>
      <c r="BW55" s="7"/>
      <c r="BX55" s="7"/>
      <c r="BY55" s="7"/>
      <c r="BZ55" s="7"/>
    </row>
  </sheetData>
  <mergeCells count="2">
    <mergeCell ref="E2:S4"/>
    <mergeCell ref="T12:U13"/>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C17BB6-EA7E-490F-A114-B35831D2F183}">
  <dimension ref="B3:B14"/>
  <sheetViews>
    <sheetView workbookViewId="0">
      <selection activeCell="B14" sqref="B14"/>
    </sheetView>
  </sheetViews>
  <sheetFormatPr defaultRowHeight="14.4" x14ac:dyDescent="0.3"/>
  <cols>
    <col min="2" max="2" width="38.77734375" customWidth="1"/>
  </cols>
  <sheetData>
    <row r="3" spans="2:2" ht="31.2" x14ac:dyDescent="0.6">
      <c r="B3" s="9" t="s">
        <v>54</v>
      </c>
    </row>
    <row r="4" spans="2:2" x14ac:dyDescent="0.3">
      <c r="B4" s="8">
        <f>IFERROR(AVERAGE(Customer_Data[Satisfaction Score]), "N/A")</f>
        <v>3.9166666666666665</v>
      </c>
    </row>
    <row r="6" spans="2:2" ht="28.8" x14ac:dyDescent="0.55000000000000004">
      <c r="B6" s="10" t="s">
        <v>55</v>
      </c>
    </row>
    <row r="7" spans="2:2" x14ac:dyDescent="0.3">
      <c r="B7" t="str">
        <f>INDEX(Customer_Data[Feedback], MATCH("Japan", Customer_Data[Country], 0))</f>
        <v>Great quality, but a bit expensive.</v>
      </c>
    </row>
    <row r="9" spans="2:2" ht="28.8" x14ac:dyDescent="0.55000000000000004">
      <c r="B9" s="10" t="s">
        <v>56</v>
      </c>
    </row>
    <row r="10" spans="2:2" x14ac:dyDescent="0.3">
      <c r="B10">
        <f>SUMIFS(Customer_Data[Purchase Amount (USD)],Customer_Data[Country],"Japan",Customer_Data[Gender],"Female")</f>
        <v>625</v>
      </c>
    </row>
    <row r="13" spans="2:2" ht="28.8" x14ac:dyDescent="0.55000000000000004">
      <c r="B13" s="10" t="s">
        <v>57</v>
      </c>
    </row>
    <row r="14" spans="2:2" x14ac:dyDescent="0.3">
      <c r="B14" t="str">
        <f ca="1">"Report Date: " &amp; TEXT(TODAY(), "mm/dd/yyyy")</f>
        <v>Report Date: 02/24/2025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Pivot Tables</vt:lpstr>
      <vt:lpstr>Sheet1</vt:lpstr>
      <vt:lpstr>Dashboard</vt:lpstr>
      <vt:lpstr>Advance Excel Formulas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Adarsh Kore</dc:creator>
  <cp:lastModifiedBy>Adarsh Kore</cp:lastModifiedBy>
  <dcterms:created xsi:type="dcterms:W3CDTF">2025-02-23T11:00:17Z</dcterms:created>
  <dcterms:modified xsi:type="dcterms:W3CDTF">2025-02-23T20:12:02Z</dcterms:modified>
</cp:coreProperties>
</file>